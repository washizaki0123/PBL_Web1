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経費管理" sheetId="1" r:id="rId5"/>
    <sheet state="visible" name="実績入力シート" sheetId="2" r:id="rId6"/>
    <sheet state="visible" name="予定入力シート" sheetId="3" r:id="rId7"/>
    <sheet state="visible" name="交通費" sheetId="4" r:id="rId8"/>
    <sheet state="hidden" name="管理" sheetId="5" r:id="rId9"/>
  </sheets>
  <definedNames>
    <definedName name="PC単価">経費管理!#REF!</definedName>
    <definedName name="メンバー単価">経費管理!#REF!</definedName>
    <definedName name="外注A単価">経費管理!#REF!</definedName>
    <definedName name="外注B単価">経費管理!#REF!</definedName>
    <definedName name="外注C単価">経費管理!#REF!</definedName>
    <definedName name="技術単価">経費管理!#REF!</definedName>
    <definedName name="教育単価">経費管理!#REF!</definedName>
    <definedName name="交通費単価">経費管理!#REF!</definedName>
    <definedName name="予定_交通費">予定入力シート!#REF!</definedName>
    <definedName name="経費管理TOP">'経費管理'!$A$6</definedName>
    <definedName name="予定入力">'予定入力シート'!$A$3</definedName>
    <definedName name="予定_教育">'予定入力シート'!$C$24:$O$34</definedName>
    <definedName name="メンバー入力">'実績入力シート'!$A$5</definedName>
    <definedName localSheetId="2" name="外注入力">'予定入力シート'!$A$39</definedName>
    <definedName name="予定_工数">'予定入力シート'!$C$8:$O$18</definedName>
    <definedName name="予定_外注">'予定入力シート'!$C$42:$O$45</definedName>
    <definedName name="外注入力">'実績入力シート'!$A$39</definedName>
    <definedName localSheetId="2" name="メンバー入力">'予定入力シート'!$A$5</definedName>
  </definedNames>
  <calcPr/>
  <extLst>
    <ext uri="GoogleSheetsCustomDataVersion1">
      <go:sheetsCustomData xmlns:go="http://customooxmlschemas.google.com/" r:id="rId10" roundtripDataSignature="AMtx7mibfiuq51Mo9G83DuegKra5uYWKGQ=="/>
    </ext>
  </extLst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D57">
      <text>
        <t xml:space="preserve">======
ID#AAAAiE1LUAI
那波　悟    (2022-10-24 02:25:42)
PCレンタル費用は
1回目に計上</t>
      </text>
    </comment>
    <comment authorId="0" ref="G8">
      <text>
        <t xml:space="preserve">======
ID#AAAAiE1LUAE
FCSK    (2022-10-24 02:25:42)
チームメンバーの
氏名を入力します。</t>
      </text>
    </comment>
    <comment authorId="0" ref="C3">
      <text>
        <t xml:space="preserve">======
ID#AAAAiE1LT_w
三牧　弘司    (2022-10-24 02:25:42)
予算額を入力します。</t>
      </text>
    </comment>
    <comment authorId="0" ref="D56">
      <text>
        <t xml:space="preserve">======
ID#AAAAiE1LT_4
Kouji_Makizono    (2022-10-24 02:25:42)
PCレンタル費用は
1回目に計上</t>
      </text>
    </comment>
    <comment authorId="0" ref="F8">
      <text>
        <t xml:space="preserve">======
ID#AAAAiE1LT_0
FCSK    (2022-10-24 02:25:42)
班名を選択します。</t>
      </text>
    </comment>
  </commentList>
  <extLst>
    <ext uri="GoogleSheetsCustomDataVersion1">
      <go:sheetsCustomData xmlns:go="http://customooxmlschemas.google.com/" r:id="rId1" roundtripDataSignature="AMtx7mgvTPROInmTNIF2VOvcq1X4DRFlGw=="/>
    </ext>
  </extLst>
</comments>
</file>

<file path=xl/comments2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N24">
      <text>
        <t xml:space="preserve">======
ID#AAAAiE1LUAA
FCSK    (2022-10-24 02:25:42)
各メンバーの教育受講回数を入力します。</t>
      </text>
    </comment>
    <comment authorId="0" ref="N8">
      <text>
        <t xml:space="preserve">======
ID#AAAAiE1LT_8
FCSK    (2022-10-24 02:25:42)
各メンバーの作業工数を、
"分"単位で入力します。
※日報記入の時間も含みます。</t>
      </text>
    </comment>
  </commentList>
  <extLst>
    <ext uri="GoogleSheetsCustomDataVersion1">
      <go:sheetsCustomData xmlns:go="http://customooxmlschemas.google.com/" r:id="rId1" roundtripDataSignature="AMtx7mj15uYI03UlK426f+whck9POy+ovg=="/>
    </ext>
  </extLst>
</comments>
</file>

<file path=xl/sharedStrings.xml><?xml version="1.0" encoding="utf-8"?>
<sst xmlns="http://schemas.openxmlformats.org/spreadsheetml/2006/main" count="146" uniqueCount="84">
  <si>
    <t>予算額</t>
  </si>
  <si>
    <t>組１班</t>
  </si>
  <si>
    <t>予定</t>
  </si>
  <si>
    <t>実績</t>
  </si>
  <si>
    <t>班名</t>
  </si>
  <si>
    <t>メンバー名</t>
  </si>
  <si>
    <t>組２班</t>
  </si>
  <si>
    <t>予　算</t>
  </si>
  <si>
    <t>Ｗ１班</t>
  </si>
  <si>
    <t>池田</t>
  </si>
  <si>
    <t>組３班</t>
  </si>
  <si>
    <t>経　費</t>
  </si>
  <si>
    <t>瓜生</t>
  </si>
  <si>
    <t>組４班</t>
  </si>
  <si>
    <t>利　益</t>
  </si>
  <si>
    <t>１班</t>
  </si>
  <si>
    <t>江頭</t>
  </si>
  <si>
    <t>組５班</t>
  </si>
  <si>
    <t>利益率</t>
  </si>
  <si>
    <t>２班</t>
  </si>
  <si>
    <t>唐川</t>
  </si>
  <si>
    <t>組６班</t>
  </si>
  <si>
    <t>※単位：千円</t>
  </si>
  <si>
    <t>３班</t>
  </si>
  <si>
    <t>仲山</t>
  </si>
  <si>
    <t>４班</t>
  </si>
  <si>
    <t>鷲崎</t>
  </si>
  <si>
    <t>Ｗ２班</t>
  </si>
  <si>
    <t>５班</t>
  </si>
  <si>
    <t>Ｗ３班</t>
  </si>
  <si>
    <t>６班</t>
  </si>
  <si>
    <t>Ｗ４班</t>
  </si>
  <si>
    <t>Ｗ５班</t>
  </si>
  <si>
    <t>Ｗ６班</t>
  </si>
  <si>
    <t>Ｗ７班</t>
  </si>
  <si>
    <t>項　　目</t>
  </si>
  <si>
    <t>経費（予定）</t>
  </si>
  <si>
    <t>経費（実績）</t>
  </si>
  <si>
    <t>単価</t>
  </si>
  <si>
    <t>備　　考</t>
  </si>
  <si>
    <t>メンバー人件費</t>
  </si>
  <si>
    <t>1分あたりの人件費</t>
  </si>
  <si>
    <t>外注委託費用（ランクA）</t>
  </si>
  <si>
    <t>1件あたりの委託費用</t>
  </si>
  <si>
    <t>外注委託費用（ランクB）</t>
  </si>
  <si>
    <t>外注委託費用（ランクC）</t>
  </si>
  <si>
    <t>技術サポート費用</t>
  </si>
  <si>
    <t>1分あたりのサポート費用</t>
  </si>
  <si>
    <t>教育受講料</t>
  </si>
  <si>
    <t>1回あたりの受講費用</t>
  </si>
  <si>
    <t>PC使用料</t>
  </si>
  <si>
    <t>1台あたりのレンタル料</t>
  </si>
  <si>
    <t>経費内訳</t>
  </si>
  <si>
    <t>合　計</t>
  </si>
  <si>
    <t>人件費</t>
  </si>
  <si>
    <t>工数予定</t>
  </si>
  <si>
    <t>工数実績</t>
  </si>
  <si>
    <t>予定費用</t>
  </si>
  <si>
    <t>実績費用</t>
  </si>
  <si>
    <t>教育受講</t>
  </si>
  <si>
    <t>予定回数</t>
  </si>
  <si>
    <t>実績回数</t>
  </si>
  <si>
    <t>外注委託
費用(A)</t>
  </si>
  <si>
    <t>予定件数</t>
  </si>
  <si>
    <t>実績件数</t>
  </si>
  <si>
    <t>外注委託
費用(B)</t>
  </si>
  <si>
    <t>外注委託
費用(C)</t>
  </si>
  <si>
    <t>技術
サポート</t>
  </si>
  <si>
    <t>予定工数</t>
  </si>
  <si>
    <t>実績工数</t>
  </si>
  <si>
    <t>経費小計</t>
  </si>
  <si>
    <t>経費累計</t>
  </si>
  <si>
    <t>経費管理表 《実績》</t>
  </si>
  <si>
    <t>《作業工数管理表》</t>
  </si>
  <si>
    <t>合計</t>
  </si>
  <si>
    <t>技術サポート</t>
  </si>
  <si>
    <t>《教育受講費用管理表》</t>
  </si>
  <si>
    <t>《外注委託管理表》</t>
  </si>
  <si>
    <t>委託内容</t>
  </si>
  <si>
    <t>ランク－Ａ</t>
  </si>
  <si>
    <t>ランク－Ｂ</t>
  </si>
  <si>
    <t>ランク－Ｃ</t>
  </si>
  <si>
    <t>経費管理表 《予定》</t>
  </si>
  <si>
    <t>金額（円）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</si>
</sst>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&quot;¥&quot;#,##0;&quot;¥&quot;\-#,##0"/>
    <numFmt numFmtId="165" formatCode="0.0%"/>
    <numFmt numFmtId="166" formatCode="&quot;¥&quot;#,##0_);[Red]\(&quot;¥&quot;#,##0\)"/>
    <numFmt numFmtId="167" formatCode="m&quot;月&quot;d&quot;日&quot;"/>
    <numFmt numFmtId="168" formatCode="#,###"/>
    <numFmt numFmtId="169" formatCode="###"/>
    <numFmt numFmtId="170" formatCode="#,##0&quot;分&quot;"/>
    <numFmt numFmtId="171" formatCode="##0&quot;回&quot;"/>
    <numFmt numFmtId="172" formatCode="m/d"/>
  </numFmts>
  <fonts count="28">
    <font>
      <sz val="11.0"/>
      <color rgb="FF000000"/>
      <name val="Calibri"/>
      <scheme val="minor"/>
    </font>
    <font>
      <b/>
      <sz val="18.0"/>
      <color theme="1"/>
      <name val="ＭＳ ゴシック"/>
    </font>
    <font>
      <sz val="10.0"/>
      <color theme="1"/>
      <name val="ＭＳ ゴシック"/>
    </font>
    <font>
      <b/>
      <sz val="12.0"/>
      <color theme="1"/>
      <name val="ＭＳ ゴシック"/>
    </font>
    <font>
      <b/>
      <sz val="16.0"/>
      <color theme="1"/>
      <name val="ＭＳ ゴシック"/>
    </font>
    <font>
      <b/>
      <sz val="14.0"/>
      <color theme="1"/>
      <name val="ＭＳ ゴシック"/>
    </font>
    <font>
      <b/>
      <sz val="14.0"/>
      <color rgb="FF0000FF"/>
      <name val="ＭＳ ゴシック"/>
    </font>
    <font/>
    <font>
      <sz val="12.0"/>
      <color theme="1"/>
      <name val="ＭＳ ゴシック"/>
    </font>
    <font>
      <b/>
      <sz val="14.0"/>
      <color rgb="FFFFFF00"/>
      <name val="ＭＳ ゴシック"/>
    </font>
    <font>
      <sz val="10.0"/>
      <color rgb="FFFFFF00"/>
      <name val="ＭＳ ゴシック"/>
    </font>
    <font>
      <sz val="10.0"/>
      <color rgb="FFFFFFFF"/>
      <name val="ＭＳ ゴシック"/>
    </font>
    <font>
      <b/>
      <sz val="10.0"/>
      <color theme="1"/>
      <name val="ＭＳ ゴシック"/>
    </font>
    <font>
      <b/>
      <sz val="10.0"/>
      <color rgb="FF0000FF"/>
      <name val="ＭＳ ゴシック"/>
    </font>
    <font>
      <sz val="11.0"/>
      <color theme="1"/>
      <name val="ＭＳ ゴシック"/>
    </font>
    <font>
      <b/>
      <sz val="11.0"/>
      <color theme="1"/>
      <name val="ＭＳ ゴシック"/>
    </font>
    <font>
      <b/>
      <sz val="11.0"/>
      <color rgb="FF0000FF"/>
      <name val="ＭＳ ゴシック"/>
    </font>
    <font>
      <sz val="10.0"/>
      <color rgb="FF808080"/>
      <name val="ＭＳ ゴシック"/>
    </font>
    <font>
      <sz val="10.0"/>
      <color rgb="FFC0C0C0"/>
      <name val="ＭＳ ゴシック"/>
    </font>
    <font>
      <sz val="12.0"/>
      <color rgb="FFFFFFFF"/>
      <name val="ＭＳ ゴシック"/>
    </font>
    <font>
      <b/>
      <sz val="9.0"/>
      <color rgb="FFFF0000"/>
      <name val="ＭＳ ゴシック"/>
    </font>
    <font>
      <sz val="11.0"/>
      <color rgb="FF0000FF"/>
      <name val="ＭＳ ゴシック"/>
    </font>
    <font>
      <u/>
      <sz val="10.0"/>
      <color rgb="FFFFFFFF"/>
      <name val="MS PGothic"/>
    </font>
    <font>
      <sz val="10.0"/>
      <color rgb="FF0000FF"/>
      <name val="ＭＳ ゴシック"/>
    </font>
    <font>
      <sz val="10.0"/>
      <color rgb="FFFF0000"/>
      <name val="ＭＳ ゴシック"/>
    </font>
    <font>
      <sz val="9.0"/>
      <color rgb="FFFF0000"/>
      <name val="ＭＳ ゴシック"/>
    </font>
    <font>
      <b/>
      <sz val="16.0"/>
      <color rgb="FF0000FF"/>
      <name val="ＭＳ ゴシック"/>
    </font>
    <font>
      <color theme="1"/>
      <name val="Calibri"/>
      <scheme val="minor"/>
    </font>
  </fonts>
  <fills count="12">
    <fill>
      <patternFill patternType="none"/>
    </fill>
    <fill>
      <patternFill patternType="lightGray"/>
    </fill>
    <fill>
      <patternFill patternType="solid">
        <fgColor rgb="FF00FF00"/>
        <bgColor rgb="FF00FF00"/>
      </patternFill>
    </fill>
    <fill>
      <patternFill patternType="solid">
        <fgColor rgb="FFFF99CC"/>
        <bgColor rgb="FFFF99CC"/>
      </patternFill>
    </fill>
    <fill>
      <patternFill patternType="solid">
        <fgColor rgb="FFFFFF99"/>
        <bgColor rgb="FFFFFF99"/>
      </patternFill>
    </fill>
    <fill>
      <patternFill patternType="solid">
        <fgColor rgb="FFC0C0C0"/>
        <bgColor rgb="FFC0C0C0"/>
      </patternFill>
    </fill>
    <fill>
      <patternFill patternType="solid">
        <fgColor rgb="FFFFFFFF"/>
        <bgColor rgb="FFFFFFFF"/>
      </patternFill>
    </fill>
    <fill>
      <patternFill patternType="solid">
        <fgColor rgb="FFCCFFFF"/>
        <bgColor rgb="FFCCFFFF"/>
      </patternFill>
    </fill>
    <fill>
      <patternFill patternType="solid">
        <fgColor rgb="FFFFCC00"/>
        <bgColor rgb="FFFFCC00"/>
      </patternFill>
    </fill>
    <fill>
      <patternFill patternType="solid">
        <fgColor rgb="FFCCFFCC"/>
        <bgColor rgb="FFCCFFCC"/>
      </patternFill>
    </fill>
    <fill>
      <patternFill patternType="solid">
        <fgColor rgb="FFFFFF00"/>
        <bgColor rgb="FFFFFF00"/>
      </patternFill>
    </fill>
    <fill>
      <patternFill patternType="solid">
        <fgColor rgb="FF99CCFF"/>
        <bgColor rgb="FF99CCFF"/>
      </patternFill>
    </fill>
  </fills>
  <borders count="109">
    <border/>
    <border>
      <left style="medium">
        <color rgb="FF000000"/>
      </left>
      <right/>
      <top style="medium">
        <color rgb="FF000000"/>
      </top>
      <bottom style="medium">
        <color rgb="FF000000"/>
      </bottom>
    </border>
    <border>
      <left style="thick">
        <color theme="9"/>
      </left>
      <top style="thick">
        <color theme="9"/>
      </top>
      <bottom style="thick">
        <color theme="9"/>
      </bottom>
    </border>
    <border>
      <right style="thick">
        <color theme="9"/>
      </right>
      <top style="thick">
        <color theme="9"/>
      </top>
      <bottom style="thick">
        <color theme="9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/>
    </border>
    <border>
      <left style="medium">
        <color rgb="FF000000"/>
      </left>
      <top style="medium">
        <color rgb="FF000000"/>
      </top>
      <bottom/>
    </border>
    <border>
      <right style="medium">
        <color rgb="FF000000"/>
      </right>
      <top style="medium">
        <color rgb="FF000000"/>
      </top>
      <bottom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thick">
        <color rgb="FFFF9900"/>
      </left>
      <top style="thick">
        <color rgb="FFFF9900"/>
      </top>
      <bottom style="thick">
        <color rgb="FFFF9900"/>
      </bottom>
    </border>
    <border>
      <left style="thick">
        <color rgb="FFFF9900"/>
      </left>
      <top style="thick">
        <color rgb="FFFF9900"/>
      </top>
      <bottom style="thin">
        <color rgb="FF000000"/>
      </bottom>
    </border>
    <border>
      <right style="thick">
        <color rgb="FFFF9900"/>
      </right>
      <top style="thick">
        <color rgb="FFFF99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/>
      <top/>
      <bottom/>
    </border>
    <border>
      <left style="thick">
        <color rgb="FFFF9900"/>
      </left>
      <top style="thin">
        <color rgb="FF000000"/>
      </top>
      <bottom style="thin">
        <color rgb="FF000000"/>
      </bottom>
    </border>
    <border>
      <right style="thick">
        <color rgb="FFFF99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/>
      <right/>
      <top/>
      <bottom/>
    </border>
    <border>
      <left style="medium">
        <color rgb="FF000000"/>
      </left>
      <right/>
      <top/>
      <bottom style="medium">
        <color rgb="FF000000"/>
      </bottom>
    </border>
    <border>
      <left style="thick">
        <color rgb="FFFF9900"/>
      </left>
      <top style="thin">
        <color rgb="FF000000"/>
      </top>
      <bottom style="thick">
        <color rgb="FFFF9900"/>
      </bottom>
    </border>
    <border>
      <right style="thick">
        <color rgb="FFFF9900"/>
      </right>
      <top style="thin">
        <color rgb="FF000000"/>
      </top>
      <bottom style="thick">
        <color rgb="FFFF9900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top style="medium">
        <color rgb="FF000000"/>
      </top>
      <bottom style="medium">
        <color rgb="FF000000"/>
      </bottom>
    </border>
    <border>
      <left/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bottom style="thin">
        <color rgb="FF000000"/>
      </bottom>
    </border>
    <border>
      <bottom style="thin">
        <color rgb="FF000000"/>
      </bottom>
    </border>
    <border>
      <left style="thin">
        <color rgb="FF000000"/>
      </left>
      <top style="medium">
        <color rgb="FF000000"/>
      </top>
      <bottom style="thin">
        <color rgb="FF000000"/>
      </bottom>
    </border>
    <border>
      <right style="thin">
        <color rgb="FF000000"/>
      </righ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right style="medium">
        <color rgb="FF000000"/>
      </right>
      <bottom style="thin">
        <color rgb="FF000000"/>
      </bottom>
    </border>
    <border>
      <left style="medium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medium">
        <color rgb="FF000000"/>
      </bottom>
    </border>
    <border>
      <top style="thin">
        <color rgb="FF000000"/>
      </top>
      <bottom style="medium">
        <color rgb="FF000000"/>
      </bottom>
    </border>
    <border>
      <left style="thin">
        <color rgb="FF000000"/>
      </left>
      <top style="thin">
        <color rgb="FF000000"/>
      </top>
      <bottom style="medium">
        <color rgb="FF000000"/>
      </bottom>
    </border>
    <border>
      <right style="thin">
        <color rgb="FF000000"/>
      </right>
      <top style="thin">
        <color rgb="FF000000"/>
      </top>
      <bottom style="medium">
        <color rgb="FF000000"/>
      </bottom>
    </border>
    <border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/>
    </border>
    <border>
      <left style="thin">
        <color rgb="FF000000"/>
      </left>
      <right style="thin">
        <color rgb="FF000000"/>
      </right>
      <bottom style="hair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</border>
    <border>
      <left style="thin">
        <color rgb="FF000000"/>
      </left>
      <right style="medium">
        <color rgb="FF000000"/>
      </right>
      <bottom style="hair">
        <color rgb="FF000000"/>
      </bottom>
    </border>
    <border>
      <left style="medium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 style="hair">
        <color rgb="FF000000"/>
      </top>
      <bottom style="dotted">
        <color rgb="FF000000"/>
      </bottom>
    </border>
    <border>
      <left style="thin">
        <color rgb="FF000000"/>
      </left>
      <right style="medium">
        <color rgb="FF000000"/>
      </right>
      <top style="hair">
        <color rgb="FF000000"/>
      </top>
      <bottom style="dotted">
        <color rgb="FF000000"/>
      </bottom>
    </border>
    <border>
      <left style="medium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medium">
        <color rgb="FF000000"/>
      </right>
      <top/>
      <bottom style="thin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</border>
    <border>
      <right style="thin">
        <color rgb="FF000000"/>
      </right>
      <top style="medium">
        <color rgb="FF000000"/>
      </top>
      <bottom style="hair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/>
      <bottom/>
    </border>
    <border>
      <right style="thin">
        <color rgb="FF000000"/>
      </right>
      <bottom style="hair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  <border>
      <left style="medium">
        <color rgb="FF000000"/>
      </left>
      <right style="thin">
        <color rgb="FF000000"/>
      </right>
      <bottom style="medium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</border>
    <border>
      <left/>
      <right/>
      <top/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thick">
        <color rgb="FFFF9900"/>
      </left>
      <right style="thin">
        <color rgb="FF000000"/>
      </right>
      <top style="thick">
        <color rgb="FFFF99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ck">
        <color rgb="FFFF9900"/>
      </top>
      <bottom style="thin">
        <color rgb="FF000000"/>
      </bottom>
    </border>
    <border>
      <left style="thin">
        <color rgb="FF000000"/>
      </left>
      <right style="dotted">
        <color theme="9"/>
      </right>
      <top style="thick">
        <color rgb="FFFF9900"/>
      </top>
      <bottom style="thin">
        <color rgb="FF000000"/>
      </bottom>
    </border>
    <border>
      <left style="thick">
        <color theme="9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ck">
        <color rgb="FFFF99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dotted">
        <color theme="9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ck">
        <color theme="9"/>
      </right>
      <top style="thin">
        <color rgb="FF000000"/>
      </top>
      <bottom style="thin">
        <color rgb="FF000000"/>
      </bottom>
    </border>
    <border>
      <left style="thick">
        <color rgb="FFFF99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ck">
        <color theme="9"/>
      </right>
      <top style="thin">
        <color rgb="FF000000"/>
      </top>
      <bottom style="thick">
        <color theme="9"/>
      </bottom>
    </border>
    <border>
      <left style="thick">
        <color rgb="FFFF9900"/>
      </left>
      <right style="thin">
        <color rgb="FF000000"/>
      </right>
      <top style="thick">
        <color rgb="FFFF9900"/>
      </top>
      <bottom style="thick">
        <color rgb="FFFF9900"/>
      </bottom>
    </border>
    <border>
      <left style="thin">
        <color rgb="FF000000"/>
      </left>
      <right style="thin">
        <color rgb="FF000000"/>
      </right>
      <top style="thick">
        <color rgb="FFFF9900"/>
      </top>
      <bottom style="thick">
        <color rgb="FFFF9900"/>
      </bottom>
    </border>
    <border>
      <left style="thin">
        <color rgb="FF000000"/>
      </left>
      <right style="thick">
        <color theme="9"/>
      </right>
      <bottom style="thick">
        <color theme="9"/>
      </bottom>
    </border>
    <border>
      <right style="thin">
        <color rgb="FF000000"/>
      </right>
      <top style="thin">
        <color rgb="FF000000"/>
      </top>
      <bottom style="thick">
        <color theme="9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theme="9"/>
      </bottom>
    </border>
    <border>
      <left style="thick">
        <color rgb="FFFF99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ck">
        <color rgb="FFFF9900"/>
      </right>
      <bottom style="thin">
        <color rgb="FF000000"/>
      </bottom>
    </border>
    <border>
      <left style="thick">
        <color rgb="FFFF9900"/>
      </left>
      <right style="thin">
        <color rgb="FF000000"/>
      </right>
      <top style="thin">
        <color rgb="FF000000"/>
      </top>
      <bottom style="thick">
        <color rgb="FFFF99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FF9900"/>
      </bottom>
    </border>
    <border>
      <left style="thin">
        <color rgb="FF000000"/>
      </left>
      <right style="thick">
        <color rgb="FFFF9900"/>
      </right>
      <top style="thin">
        <color rgb="FF000000"/>
      </top>
      <bottom style="thick">
        <color rgb="FFFF9900"/>
      </bottom>
    </border>
    <border>
      <left style="thin">
        <color rgb="FF000000"/>
      </left>
      <right style="thick">
        <color theme="9"/>
      </right>
      <top style="thick">
        <color rgb="FFFF9900"/>
      </top>
      <bottom style="thin">
        <color rgb="FF000000"/>
      </bottom>
    </border>
    <border>
      <left style="thin">
        <color rgb="FF000000"/>
      </left>
      <right style="thick">
        <color theme="9"/>
      </right>
      <bottom style="thin">
        <color rgb="FF000000"/>
      </bottom>
    </border>
    <border>
      <left style="thin">
        <color rgb="FF000000"/>
      </left>
      <right style="thick">
        <color theme="9"/>
      </right>
      <top style="thin">
        <color rgb="FF000000"/>
      </top>
      <bottom style="thick">
        <color rgb="FFFF9900"/>
      </bottom>
    </border>
    <border>
      <left style="thin">
        <color rgb="FF000000"/>
      </left>
      <right style="thick">
        <color rgb="FFFF9900"/>
      </right>
      <top style="thick">
        <color rgb="FFFF9900"/>
      </top>
      <bottom style="thin">
        <color rgb="FF000000"/>
      </bottom>
    </border>
    <border>
      <left style="thin">
        <color rgb="FF000000"/>
      </left>
      <right style="thick">
        <color rgb="FFFF99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ck">
        <color rgb="FFFF9900"/>
      </right>
      <top style="thick">
        <color rgb="FFFF9900"/>
      </top>
      <bottom style="thick">
        <color rgb="FFFF9900"/>
      </bottom>
    </border>
    <border>
      <left style="thin">
        <color rgb="FF000000"/>
      </left>
      <right style="thick">
        <color rgb="FF0000FF"/>
      </right>
      <top style="thick">
        <color rgb="FFFF9900"/>
      </top>
      <bottom style="thin">
        <color rgb="FF000000"/>
      </bottom>
    </border>
    <border>
      <left style="thin">
        <color rgb="FF000000"/>
      </left>
      <right style="thick">
        <color rgb="FF0000FF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ck">
        <color theme="9"/>
      </right>
      <top style="thin">
        <color rgb="FF000000"/>
      </top>
    </border>
    <border>
      <left style="thin">
        <color rgb="FF000000"/>
      </left>
      <right style="thick">
        <color theme="9"/>
      </right>
      <top style="thick">
        <color rgb="FFFF9900"/>
      </top>
      <bottom style="thick">
        <color rgb="FFFF9900"/>
      </bottom>
    </border>
  </borders>
  <cellStyleXfs count="1">
    <xf borderId="0" fillId="0" fontId="0" numFmtId="0" applyAlignment="1" applyFont="1"/>
  </cellStyleXfs>
  <cellXfs count="185">
    <xf borderId="0" fillId="0" fontId="0" numFmtId="0" xfId="0" applyAlignment="1" applyFont="1">
      <alignment readingOrder="0" shrinkToFit="0" vertical="center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vertical="center"/>
    </xf>
    <xf borderId="0" fillId="0" fontId="3" numFmtId="0" xfId="0" applyAlignment="1" applyFont="1">
      <alignment horizontal="right" vertical="center"/>
    </xf>
    <xf borderId="0" fillId="0" fontId="3" numFmtId="0" xfId="0" applyAlignment="1" applyFont="1">
      <alignment vertical="center"/>
    </xf>
    <xf borderId="0" fillId="0" fontId="4" numFmtId="0" xfId="0" applyAlignment="1" applyFont="1">
      <alignment horizontal="center" vertical="center"/>
    </xf>
    <xf borderId="1" fillId="2" fontId="5" numFmtId="0" xfId="0" applyAlignment="1" applyBorder="1" applyFill="1" applyFont="1">
      <alignment horizontal="center" vertical="center"/>
    </xf>
    <xf borderId="2" fillId="0" fontId="6" numFmtId="164" xfId="0" applyAlignment="1" applyBorder="1" applyFont="1" applyNumberFormat="1">
      <alignment horizontal="right" vertical="center"/>
    </xf>
    <xf borderId="3" fillId="0" fontId="7" numFmtId="0" xfId="0" applyAlignment="1" applyBorder="1" applyFont="1">
      <alignment vertical="center"/>
    </xf>
    <xf borderId="0" fillId="0" fontId="8" numFmtId="0" xfId="0" applyAlignment="1" applyFont="1">
      <alignment vertical="center"/>
    </xf>
    <xf borderId="0" fillId="0" fontId="9" numFmtId="0" xfId="0" applyAlignment="1" applyFont="1">
      <alignment vertical="center"/>
    </xf>
    <xf borderId="0" fillId="0" fontId="10" numFmtId="0" xfId="0" applyAlignment="1" applyFont="1">
      <alignment vertical="center"/>
    </xf>
    <xf borderId="0" fillId="0" fontId="11" numFmtId="0" xfId="0" applyAlignment="1" applyFont="1">
      <alignment vertical="center"/>
    </xf>
    <xf borderId="4" fillId="3" fontId="12" numFmtId="0" xfId="0" applyAlignment="1" applyBorder="1" applyFill="1" applyFont="1">
      <alignment vertical="center"/>
    </xf>
    <xf borderId="5" fillId="3" fontId="13" numFmtId="0" xfId="0" applyAlignment="1" applyBorder="1" applyFont="1">
      <alignment horizontal="center" vertical="center"/>
    </xf>
    <xf borderId="6" fillId="3" fontId="12" numFmtId="0" xfId="0" applyAlignment="1" applyBorder="1" applyFont="1">
      <alignment horizontal="center" vertical="center"/>
    </xf>
    <xf borderId="7" fillId="4" fontId="14" numFmtId="0" xfId="0" applyAlignment="1" applyBorder="1" applyFill="1" applyFont="1">
      <alignment horizontal="center" vertical="center"/>
    </xf>
    <xf borderId="8" fillId="4" fontId="14" numFmtId="0" xfId="0" applyAlignment="1" applyBorder="1" applyFont="1">
      <alignment horizontal="center" vertical="center"/>
    </xf>
    <xf borderId="9" fillId="0" fontId="7" numFmtId="0" xfId="0" applyAlignment="1" applyBorder="1" applyFont="1">
      <alignment vertical="center"/>
    </xf>
    <xf borderId="10" fillId="3" fontId="15" numFmtId="0" xfId="0" applyAlignment="1" applyBorder="1" applyFont="1">
      <alignment horizontal="center" vertical="center"/>
    </xf>
    <xf borderId="11" fillId="0" fontId="16" numFmtId="3" xfId="0" applyAlignment="1" applyBorder="1" applyFont="1" applyNumberFormat="1">
      <alignment horizontal="right" vertical="center"/>
    </xf>
    <xf borderId="12" fillId="0" fontId="15" numFmtId="3" xfId="0" applyAlignment="1" applyBorder="1" applyFont="1" applyNumberFormat="1">
      <alignment horizontal="right" vertical="center"/>
    </xf>
    <xf borderId="13" fillId="0" fontId="2" numFmtId="0" xfId="0" applyAlignment="1" applyBorder="1" applyFont="1">
      <alignment horizontal="center" readingOrder="0" vertical="center"/>
    </xf>
    <xf borderId="14" fillId="0" fontId="14" numFmtId="0" xfId="0" applyAlignment="1" applyBorder="1" applyFont="1">
      <alignment horizontal="center" readingOrder="0" vertical="center"/>
    </xf>
    <xf borderId="15" fillId="0" fontId="7" numFmtId="0" xfId="0" applyAlignment="1" applyBorder="1" applyFont="1">
      <alignment vertical="center"/>
    </xf>
    <xf borderId="16" fillId="3" fontId="15" numFmtId="0" xfId="0" applyAlignment="1" applyBorder="1" applyFont="1">
      <alignment horizontal="center" vertical="center"/>
    </xf>
    <xf borderId="17" fillId="0" fontId="16" numFmtId="3" xfId="0" applyAlignment="1" applyBorder="1" applyFont="1" applyNumberFormat="1">
      <alignment horizontal="right" vertical="center"/>
    </xf>
    <xf borderId="18" fillId="0" fontId="15" numFmtId="3" xfId="0" applyAlignment="1" applyBorder="1" applyFont="1" applyNumberFormat="1">
      <alignment horizontal="right" vertical="center"/>
    </xf>
    <xf borderId="19" fillId="5" fontId="17" numFmtId="0" xfId="0" applyAlignment="1" applyBorder="1" applyFill="1" applyFont="1">
      <alignment horizontal="center" vertical="center"/>
    </xf>
    <xf borderId="20" fillId="0" fontId="14" numFmtId="0" xfId="0" applyAlignment="1" applyBorder="1" applyFont="1">
      <alignment horizontal="center" readingOrder="0" vertical="center"/>
    </xf>
    <xf borderId="21" fillId="0" fontId="7" numFmtId="0" xfId="0" applyAlignment="1" applyBorder="1" applyFont="1">
      <alignment vertical="center"/>
    </xf>
    <xf borderId="19" fillId="5" fontId="18" numFmtId="0" xfId="0" applyAlignment="1" applyBorder="1" applyFont="1">
      <alignment vertical="center"/>
    </xf>
    <xf borderId="22" fillId="3" fontId="15" numFmtId="0" xfId="0" applyAlignment="1" applyBorder="1" applyFont="1">
      <alignment horizontal="center" vertical="center"/>
    </xf>
    <xf borderId="23" fillId="0" fontId="16" numFmtId="165" xfId="0" applyAlignment="1" applyBorder="1" applyFont="1" applyNumberFormat="1">
      <alignment horizontal="right" vertical="center"/>
    </xf>
    <xf borderId="24" fillId="0" fontId="15" numFmtId="165" xfId="0" applyAlignment="1" applyBorder="1" applyFont="1" applyNumberFormat="1">
      <alignment horizontal="right" vertical="center"/>
    </xf>
    <xf borderId="25" fillId="6" fontId="19" numFmtId="0" xfId="0" applyAlignment="1" applyBorder="1" applyFill="1" applyFont="1">
      <alignment vertical="center"/>
    </xf>
    <xf borderId="0" fillId="0" fontId="2" numFmtId="0" xfId="0" applyAlignment="1" applyFont="1">
      <alignment horizontal="center" vertical="center"/>
    </xf>
    <xf borderId="0" fillId="0" fontId="3" numFmtId="165" xfId="0" applyAlignment="1" applyFont="1" applyNumberFormat="1">
      <alignment horizontal="right" vertical="center"/>
    </xf>
    <xf borderId="0" fillId="0" fontId="2" numFmtId="165" xfId="0" applyAlignment="1" applyFont="1" applyNumberFormat="1">
      <alignment horizontal="right" vertical="center"/>
    </xf>
    <xf borderId="25" fillId="7" fontId="20" numFmtId="0" xfId="0" applyAlignment="1" applyBorder="1" applyFill="1" applyFont="1">
      <alignment horizontal="left" vertical="center"/>
    </xf>
    <xf borderId="25" fillId="7" fontId="3" numFmtId="165" xfId="0" applyAlignment="1" applyBorder="1" applyFont="1" applyNumberFormat="1">
      <alignment horizontal="right" vertical="center"/>
    </xf>
    <xf borderId="20" fillId="0" fontId="14" numFmtId="0" xfId="0" applyAlignment="1" applyBorder="1" applyFont="1">
      <alignment horizontal="center" vertical="center"/>
    </xf>
    <xf borderId="26" fillId="5" fontId="18" numFmtId="0" xfId="0" applyAlignment="1" applyBorder="1" applyFont="1">
      <alignment vertical="center"/>
    </xf>
    <xf borderId="27" fillId="0" fontId="14" numFmtId="0" xfId="0" applyAlignment="1" applyBorder="1" applyFont="1">
      <alignment horizontal="center" vertical="center"/>
    </xf>
    <xf borderId="28" fillId="0" fontId="7" numFmtId="0" xfId="0" applyAlignment="1" applyBorder="1" applyFont="1">
      <alignment vertical="center"/>
    </xf>
    <xf borderId="0" fillId="0" fontId="3" numFmtId="0" xfId="0" applyAlignment="1" applyFont="1">
      <alignment horizontal="center" vertical="center"/>
    </xf>
    <xf borderId="29" fillId="2" fontId="15" numFmtId="0" xfId="0" applyAlignment="1" applyBorder="1" applyFont="1">
      <alignment horizontal="center" vertical="center"/>
    </xf>
    <xf borderId="30" fillId="0" fontId="7" numFmtId="0" xfId="0" applyAlignment="1" applyBorder="1" applyFont="1">
      <alignment vertical="center"/>
    </xf>
    <xf borderId="31" fillId="0" fontId="7" numFmtId="0" xfId="0" applyAlignment="1" applyBorder="1" applyFont="1">
      <alignment vertical="center"/>
    </xf>
    <xf borderId="32" fillId="2" fontId="16" numFmtId="0" xfId="0" applyAlignment="1" applyBorder="1" applyFont="1">
      <alignment horizontal="center" vertical="center"/>
    </xf>
    <xf borderId="33" fillId="2" fontId="15" numFmtId="0" xfId="0" applyAlignment="1" applyBorder="1" applyFont="1">
      <alignment horizontal="center" vertical="center"/>
    </xf>
    <xf borderId="34" fillId="0" fontId="7" numFmtId="0" xfId="0" applyAlignment="1" applyBorder="1" applyFont="1">
      <alignment vertical="center"/>
    </xf>
    <xf borderId="29" fillId="8" fontId="15" numFmtId="0" xfId="0" applyAlignment="1" applyBorder="1" applyFill="1" applyFont="1">
      <alignment horizontal="center" vertical="center"/>
    </xf>
    <xf borderId="32" fillId="8" fontId="15" numFmtId="0" xfId="0" applyAlignment="1" applyBorder="1" applyFont="1">
      <alignment horizontal="center" vertical="center"/>
    </xf>
    <xf borderId="35" fillId="0" fontId="14" numFmtId="0" xfId="0" applyAlignment="1" applyBorder="1" applyFont="1">
      <alignment vertical="center"/>
    </xf>
    <xf borderId="36" fillId="0" fontId="7" numFmtId="0" xfId="0" applyAlignment="1" applyBorder="1" applyFont="1">
      <alignment vertical="center"/>
    </xf>
    <xf borderId="37" fillId="0" fontId="21" numFmtId="166" xfId="0" applyAlignment="1" applyBorder="1" applyFont="1" applyNumberFormat="1">
      <alignment vertical="center"/>
    </xf>
    <xf borderId="38" fillId="0" fontId="7" numFmtId="0" xfId="0" applyAlignment="1" applyBorder="1" applyFont="1">
      <alignment vertical="center"/>
    </xf>
    <xf borderId="39" fillId="0" fontId="14" numFmtId="166" xfId="0" applyAlignment="1" applyBorder="1" applyFont="1" applyNumberFormat="1">
      <alignment vertical="center"/>
    </xf>
    <xf borderId="40" fillId="0" fontId="7" numFmtId="0" xfId="0" applyAlignment="1" applyBorder="1" applyFont="1">
      <alignment vertical="center"/>
    </xf>
    <xf borderId="41" fillId="0" fontId="14" numFmtId="38" xfId="0" applyAlignment="1" applyBorder="1" applyFont="1" applyNumberFormat="1">
      <alignment vertical="center"/>
    </xf>
    <xf borderId="42" fillId="0" fontId="7" numFmtId="0" xfId="0" applyAlignment="1" applyBorder="1" applyFont="1">
      <alignment vertical="center"/>
    </xf>
    <xf borderId="41" fillId="0" fontId="14" numFmtId="0" xfId="0" applyAlignment="1" applyBorder="1" applyFont="1">
      <alignment horizontal="left" vertical="center"/>
    </xf>
    <xf borderId="43" fillId="0" fontId="7" numFmtId="0" xfId="0" applyAlignment="1" applyBorder="1" applyFont="1">
      <alignment vertical="center"/>
    </xf>
    <xf borderId="44" fillId="0" fontId="14" numFmtId="0" xfId="0" applyAlignment="1" applyBorder="1" applyFont="1">
      <alignment vertical="center"/>
    </xf>
    <xf borderId="45" fillId="0" fontId="7" numFmtId="0" xfId="0" applyAlignment="1" applyBorder="1" applyFont="1">
      <alignment vertical="center"/>
    </xf>
    <xf borderId="46" fillId="0" fontId="21" numFmtId="166" xfId="0" applyAlignment="1" applyBorder="1" applyFont="1" applyNumberFormat="1">
      <alignment vertical="center"/>
    </xf>
    <xf borderId="47" fillId="0" fontId="7" numFmtId="0" xfId="0" applyAlignment="1" applyBorder="1" applyFont="1">
      <alignment vertical="center"/>
    </xf>
    <xf borderId="45" fillId="0" fontId="14" numFmtId="166" xfId="0" applyAlignment="1" applyBorder="1" applyFont="1" applyNumberFormat="1">
      <alignment vertical="center"/>
    </xf>
    <xf borderId="48" fillId="0" fontId="7" numFmtId="0" xfId="0" applyAlignment="1" applyBorder="1" applyFont="1">
      <alignment vertical="center"/>
    </xf>
    <xf borderId="46" fillId="0" fontId="14" numFmtId="38" xfId="0" applyAlignment="1" applyBorder="1" applyFont="1" applyNumberFormat="1">
      <alignment vertical="center"/>
    </xf>
    <xf borderId="46" fillId="0" fontId="14" numFmtId="0" xfId="0" applyAlignment="1" applyBorder="1" applyFont="1">
      <alignment horizontal="left" vertical="center"/>
    </xf>
    <xf borderId="49" fillId="0" fontId="14" numFmtId="0" xfId="0" applyAlignment="1" applyBorder="1" applyFont="1">
      <alignment vertical="center"/>
    </xf>
    <xf borderId="50" fillId="0" fontId="7" numFmtId="0" xfId="0" applyAlignment="1" applyBorder="1" applyFont="1">
      <alignment vertical="center"/>
    </xf>
    <xf borderId="51" fillId="0" fontId="21" numFmtId="166" xfId="0" applyAlignment="1" applyBorder="1" applyFont="1" applyNumberFormat="1">
      <alignment vertical="center"/>
    </xf>
    <xf borderId="52" fillId="0" fontId="7" numFmtId="0" xfId="0" applyAlignment="1" applyBorder="1" applyFont="1">
      <alignment vertical="center"/>
    </xf>
    <xf borderId="50" fillId="0" fontId="14" numFmtId="166" xfId="0" applyAlignment="1" applyBorder="1" applyFont="1" applyNumberFormat="1">
      <alignment vertical="center"/>
    </xf>
    <xf borderId="53" fillId="0" fontId="7" numFmtId="0" xfId="0" applyAlignment="1" applyBorder="1" applyFont="1">
      <alignment vertical="center"/>
    </xf>
    <xf borderId="51" fillId="0" fontId="14" numFmtId="38" xfId="0" applyAlignment="1" applyBorder="1" applyFont="1" applyNumberFormat="1">
      <alignment vertical="center"/>
    </xf>
    <xf borderId="51" fillId="0" fontId="14" numFmtId="0" xfId="0" applyAlignment="1" applyBorder="1" applyFont="1">
      <alignment horizontal="left" vertical="center"/>
    </xf>
    <xf borderId="0" fillId="0" fontId="22" numFmtId="0" xfId="0" applyAlignment="1" applyFont="1">
      <alignment vertical="center"/>
    </xf>
    <xf borderId="0" fillId="0" fontId="11" numFmtId="0" xfId="0" applyAlignment="1" applyFont="1">
      <alignment horizontal="right" vertical="center"/>
    </xf>
    <xf borderId="0" fillId="0" fontId="8" numFmtId="0" xfId="0" applyAlignment="1" applyFont="1">
      <alignment horizontal="center" vertical="center"/>
    </xf>
    <xf borderId="29" fillId="9" fontId="2" numFmtId="0" xfId="0" applyAlignment="1" applyBorder="1" applyFill="1" applyFont="1">
      <alignment horizontal="center" vertical="center"/>
    </xf>
    <xf borderId="5" fillId="9" fontId="2" numFmtId="167" xfId="0" applyAlignment="1" applyBorder="1" applyFont="1" applyNumberFormat="1">
      <alignment horizontal="center" vertical="center"/>
    </xf>
    <xf borderId="6" fillId="9" fontId="2" numFmtId="167" xfId="0" applyAlignment="1" applyBorder="1" applyFont="1" applyNumberFormat="1">
      <alignment horizontal="center" vertical="center"/>
    </xf>
    <xf borderId="54" fillId="9" fontId="2" numFmtId="0" xfId="0" applyAlignment="1" applyBorder="1" applyFont="1">
      <alignment horizontal="center" vertical="center"/>
    </xf>
    <xf borderId="55" fillId="0" fontId="23" numFmtId="0" xfId="0" applyAlignment="1" applyBorder="1" applyFont="1">
      <alignment horizontal="center" vertical="center"/>
    </xf>
    <xf borderId="55" fillId="0" fontId="23" numFmtId="168" xfId="0" applyAlignment="1" applyBorder="1" applyFont="1" applyNumberFormat="1">
      <alignment vertical="center"/>
    </xf>
    <xf borderId="56" fillId="0" fontId="23" numFmtId="168" xfId="0" applyAlignment="1" applyBorder="1" applyFont="1" applyNumberFormat="1">
      <alignment vertical="center"/>
    </xf>
    <xf borderId="57" fillId="0" fontId="23" numFmtId="3" xfId="0" applyAlignment="1" applyBorder="1" applyFont="1" applyNumberFormat="1">
      <alignment vertical="center"/>
    </xf>
    <xf borderId="58" fillId="0" fontId="7" numFmtId="0" xfId="0" applyAlignment="1" applyBorder="1" applyFont="1">
      <alignment vertical="center"/>
    </xf>
    <xf borderId="59" fillId="4" fontId="2" numFmtId="0" xfId="0" applyAlignment="1" applyBorder="1" applyFont="1">
      <alignment horizontal="center" vertical="center"/>
    </xf>
    <xf borderId="59" fillId="4" fontId="2" numFmtId="168" xfId="0" applyAlignment="1" applyBorder="1" applyFont="1" applyNumberFormat="1">
      <alignment vertical="center"/>
    </xf>
    <xf borderId="60" fillId="4" fontId="2" numFmtId="3" xfId="0" applyAlignment="1" applyBorder="1" applyFont="1" applyNumberFormat="1">
      <alignment vertical="center"/>
    </xf>
    <xf borderId="61" fillId="0" fontId="7" numFmtId="0" xfId="0" applyAlignment="1" applyBorder="1" applyFont="1">
      <alignment vertical="center"/>
    </xf>
    <xf borderId="62" fillId="4" fontId="2" numFmtId="0" xfId="0" applyAlignment="1" applyBorder="1" applyFont="1">
      <alignment horizontal="center" vertical="center"/>
    </xf>
    <xf borderId="62" fillId="4" fontId="2" numFmtId="38" xfId="0" applyAlignment="1" applyBorder="1" applyFont="1" applyNumberFormat="1">
      <alignment vertical="center"/>
    </xf>
    <xf borderId="63" fillId="4" fontId="2" numFmtId="3" xfId="0" applyAlignment="1" applyBorder="1" applyFont="1" applyNumberFormat="1">
      <alignment vertical="center"/>
    </xf>
    <xf borderId="54" fillId="9" fontId="2" numFmtId="0" xfId="0" applyAlignment="1" applyBorder="1" applyFont="1">
      <alignment horizontal="center" shrinkToFit="0" vertical="center" wrapText="1"/>
    </xf>
    <xf borderId="64" fillId="10" fontId="2" numFmtId="0" xfId="0" applyAlignment="1" applyBorder="1" applyFill="1" applyFont="1">
      <alignment horizontal="center" vertical="center"/>
    </xf>
    <xf borderId="65" fillId="0" fontId="23" numFmtId="0" xfId="0" applyAlignment="1" applyBorder="1" applyFont="1">
      <alignment horizontal="center" vertical="center"/>
    </xf>
    <xf borderId="56" fillId="0" fontId="23" numFmtId="3" xfId="0" applyAlignment="1" applyBorder="1" applyFont="1" applyNumberFormat="1">
      <alignment vertical="center"/>
    </xf>
    <xf borderId="66" fillId="0" fontId="23" numFmtId="3" xfId="0" applyAlignment="1" applyBorder="1" applyFont="1" applyNumberFormat="1">
      <alignment vertical="center"/>
    </xf>
    <xf borderId="67" fillId="4" fontId="2" numFmtId="0" xfId="0" applyAlignment="1" applyBorder="1" applyFont="1">
      <alignment horizontal="center" vertical="center"/>
    </xf>
    <xf borderId="62" fillId="4" fontId="2" numFmtId="3" xfId="0" applyAlignment="1" applyBorder="1" applyFont="1" applyNumberFormat="1">
      <alignment vertical="center"/>
    </xf>
    <xf borderId="68" fillId="4" fontId="2" numFmtId="3" xfId="0" applyAlignment="1" applyBorder="1" applyFont="1" applyNumberFormat="1">
      <alignment vertical="center"/>
    </xf>
    <xf borderId="54" fillId="10" fontId="2" numFmtId="0" xfId="0" applyAlignment="1" applyBorder="1" applyFont="1">
      <alignment horizontal="center" vertical="center"/>
    </xf>
    <xf borderId="69" fillId="0" fontId="23" numFmtId="0" xfId="0" applyAlignment="1" applyBorder="1" applyFont="1">
      <alignment horizontal="center" vertical="center"/>
    </xf>
    <xf borderId="55" fillId="0" fontId="23" numFmtId="3" xfId="0" applyAlignment="1" applyBorder="1" applyFont="1" applyNumberFormat="1">
      <alignment vertical="center"/>
    </xf>
    <xf borderId="70" fillId="0" fontId="23" numFmtId="3" xfId="0" applyAlignment="1" applyBorder="1" applyFont="1" applyNumberFormat="1">
      <alignment vertical="center"/>
    </xf>
    <xf borderId="71" fillId="0" fontId="23" numFmtId="0" xfId="0" applyAlignment="1" applyBorder="1" applyFont="1">
      <alignment horizontal="center" vertical="center"/>
    </xf>
    <xf borderId="71" fillId="0" fontId="23" numFmtId="165" xfId="0" applyAlignment="1" applyBorder="1" applyFont="1" applyNumberFormat="1">
      <alignment vertical="center"/>
    </xf>
    <xf borderId="70" fillId="0" fontId="23" numFmtId="165" xfId="0" applyAlignment="1" applyBorder="1" applyFont="1" applyNumberFormat="1">
      <alignment vertical="center"/>
    </xf>
    <xf borderId="72" fillId="0" fontId="7" numFmtId="0" xfId="0" applyAlignment="1" applyBorder="1" applyFont="1">
      <alignment vertical="center"/>
    </xf>
    <xf borderId="73" fillId="4" fontId="24" numFmtId="0" xfId="0" applyAlignment="1" applyBorder="1" applyFont="1">
      <alignment horizontal="center" vertical="center"/>
    </xf>
    <xf borderId="73" fillId="4" fontId="24" numFmtId="165" xfId="0" applyAlignment="1" applyBorder="1" applyFont="1" applyNumberFormat="1">
      <alignment vertical="center"/>
    </xf>
    <xf borderId="74" fillId="4" fontId="24" numFmtId="165" xfId="0" applyAlignment="1" applyBorder="1" applyFont="1" applyNumberFormat="1">
      <alignment vertical="center"/>
    </xf>
    <xf borderId="75" fillId="10" fontId="4" numFmtId="0" xfId="0" applyAlignment="1" applyBorder="1" applyFont="1">
      <alignment vertical="center"/>
    </xf>
    <xf borderId="75" fillId="10" fontId="2" numFmtId="0" xfId="0" applyAlignment="1" applyBorder="1" applyFont="1">
      <alignment vertical="center"/>
    </xf>
    <xf borderId="75" fillId="10" fontId="24" numFmtId="0" xfId="0" applyAlignment="1" applyBorder="1" applyFont="1">
      <alignment horizontal="right" vertical="center"/>
    </xf>
    <xf borderId="0" fillId="0" fontId="25" numFmtId="0" xfId="0" applyAlignment="1" applyFont="1">
      <alignment horizontal="right" vertical="center"/>
    </xf>
    <xf borderId="36" fillId="0" fontId="15" numFmtId="0" xfId="0" applyAlignment="1" applyBorder="1" applyFont="1">
      <alignment vertical="center"/>
    </xf>
    <xf borderId="36" fillId="0" fontId="2" numFmtId="0" xfId="0" applyAlignment="1" applyBorder="1" applyFont="1">
      <alignment vertical="center"/>
    </xf>
    <xf borderId="17" fillId="9" fontId="2" numFmtId="0" xfId="0" applyAlignment="1" applyBorder="1" applyFont="1">
      <alignment horizontal="center" vertical="center"/>
    </xf>
    <xf borderId="76" fillId="9" fontId="2" numFmtId="167" xfId="0" applyAlignment="1" applyBorder="1" applyFont="1" applyNumberFormat="1">
      <alignment horizontal="center" vertical="center"/>
    </xf>
    <xf borderId="17" fillId="9" fontId="2" numFmtId="167" xfId="0" applyAlignment="1" applyBorder="1" applyFont="1" applyNumberFormat="1">
      <alignment horizontal="center" vertical="center"/>
    </xf>
    <xf borderId="17" fillId="11" fontId="2" numFmtId="167" xfId="0" applyAlignment="1" applyBorder="1" applyFill="1" applyFont="1" applyNumberFormat="1">
      <alignment horizontal="center" vertical="center"/>
    </xf>
    <xf borderId="77" fillId="9" fontId="2" numFmtId="0" xfId="0" applyAlignment="1" applyBorder="1" applyFont="1">
      <alignment horizontal="center" vertical="center"/>
    </xf>
    <xf borderId="78" fillId="0" fontId="2" numFmtId="169" xfId="0" applyAlignment="1" applyBorder="1" applyFont="1" applyNumberFormat="1">
      <alignment readingOrder="0" vertical="center"/>
    </xf>
    <xf borderId="79" fillId="0" fontId="2" numFmtId="169" xfId="0" applyAlignment="1" applyBorder="1" applyFont="1" applyNumberFormat="1">
      <alignment readingOrder="0" vertical="center"/>
    </xf>
    <xf borderId="79" fillId="0" fontId="2" numFmtId="169" xfId="0" applyAlignment="1" applyBorder="1" applyFont="1" applyNumberFormat="1">
      <alignment vertical="center"/>
    </xf>
    <xf borderId="80" fillId="0" fontId="2" numFmtId="169" xfId="0" applyAlignment="1" applyBorder="1" applyFont="1" applyNumberFormat="1">
      <alignment vertical="center"/>
    </xf>
    <xf borderId="45" fillId="0" fontId="2" numFmtId="169" xfId="0" applyAlignment="1" applyBorder="1" applyFont="1" applyNumberFormat="1">
      <alignment vertical="center"/>
    </xf>
    <xf borderId="81" fillId="11" fontId="2" numFmtId="170" xfId="0" applyAlignment="1" applyBorder="1" applyFont="1" applyNumberFormat="1">
      <alignment vertical="center"/>
    </xf>
    <xf borderId="82" fillId="0" fontId="2" numFmtId="169" xfId="0" applyAlignment="1" applyBorder="1" applyFont="1" applyNumberFormat="1">
      <alignment readingOrder="0" vertical="center"/>
    </xf>
    <xf borderId="17" fillId="0" fontId="2" numFmtId="0" xfId="0" applyAlignment="1" applyBorder="1" applyFont="1">
      <alignment readingOrder="0" vertical="center"/>
    </xf>
    <xf borderId="17" fillId="0" fontId="2" numFmtId="0" xfId="0" applyAlignment="1" applyBorder="1" applyFont="1">
      <alignment vertical="center"/>
    </xf>
    <xf borderId="83" fillId="0" fontId="2" numFmtId="0" xfId="0" applyAlignment="1" applyBorder="1" applyFont="1">
      <alignment vertical="center"/>
    </xf>
    <xf borderId="17" fillId="0" fontId="2" numFmtId="169" xfId="0" applyAlignment="1" applyBorder="1" applyFont="1" applyNumberFormat="1">
      <alignment readingOrder="0" vertical="center"/>
    </xf>
    <xf borderId="17" fillId="0" fontId="2" numFmtId="169" xfId="0" applyAlignment="1" applyBorder="1" applyFont="1" applyNumberFormat="1">
      <alignment vertical="center"/>
    </xf>
    <xf borderId="84" fillId="0" fontId="2" numFmtId="0" xfId="0" applyAlignment="1" applyBorder="1" applyFont="1">
      <alignment vertical="center"/>
    </xf>
    <xf borderId="47" fillId="0" fontId="2" numFmtId="169" xfId="0" applyAlignment="1" applyBorder="1" applyFont="1" applyNumberFormat="1">
      <alignment vertical="center"/>
    </xf>
    <xf borderId="17" fillId="11" fontId="2" numFmtId="170" xfId="0" applyAlignment="1" applyBorder="1" applyFont="1" applyNumberFormat="1">
      <alignment vertical="center"/>
    </xf>
    <xf borderId="82" fillId="0" fontId="2" numFmtId="169" xfId="0" applyAlignment="1" applyBorder="1" applyFont="1" applyNumberFormat="1">
      <alignment vertical="center"/>
    </xf>
    <xf borderId="85" fillId="0" fontId="2" numFmtId="169" xfId="0" applyAlignment="1" applyBorder="1" applyFont="1" applyNumberFormat="1">
      <alignment vertical="center"/>
    </xf>
    <xf borderId="86" fillId="0" fontId="2" numFmtId="169" xfId="0" applyAlignment="1" applyBorder="1" applyFont="1" applyNumberFormat="1">
      <alignment vertical="center"/>
    </xf>
    <xf borderId="87" fillId="0" fontId="2" numFmtId="0" xfId="0" applyAlignment="1" applyBorder="1" applyFont="1">
      <alignment vertical="center"/>
    </xf>
    <xf borderId="77" fillId="2" fontId="2" numFmtId="0" xfId="0" applyAlignment="1" applyBorder="1" applyFont="1">
      <alignment horizontal="center" vertical="center"/>
    </xf>
    <xf borderId="88" fillId="0" fontId="2" numFmtId="169" xfId="0" applyAlignment="1" applyBorder="1" applyFont="1" applyNumberFormat="1">
      <alignment vertical="center"/>
    </xf>
    <xf borderId="89" fillId="0" fontId="2" numFmtId="169" xfId="0" applyAlignment="1" applyBorder="1" applyFont="1" applyNumberFormat="1">
      <alignment vertical="center"/>
    </xf>
    <xf borderId="90" fillId="0" fontId="2" numFmtId="0" xfId="0" applyAlignment="1" applyBorder="1" applyFont="1">
      <alignment vertical="center"/>
    </xf>
    <xf borderId="91" fillId="0" fontId="2" numFmtId="169" xfId="0" applyAlignment="1" applyBorder="1" applyFont="1" applyNumberFormat="1">
      <alignment vertical="center"/>
    </xf>
    <xf borderId="92" fillId="11" fontId="2" numFmtId="170" xfId="0" applyAlignment="1" applyBorder="1" applyFont="1" applyNumberFormat="1">
      <alignment vertical="center"/>
    </xf>
    <xf borderId="93" fillId="0" fontId="2" numFmtId="169" xfId="0" applyAlignment="1" applyBorder="1" applyFont="1" applyNumberFormat="1">
      <alignment vertical="center"/>
    </xf>
    <xf borderId="94" fillId="0" fontId="2" numFmtId="169" xfId="0" applyAlignment="1" applyBorder="1" applyFont="1" applyNumberFormat="1">
      <alignment vertical="center"/>
    </xf>
    <xf borderId="95" fillId="0" fontId="2" numFmtId="169" xfId="0" applyAlignment="1" applyBorder="1" applyFont="1" applyNumberFormat="1">
      <alignment vertical="center"/>
    </xf>
    <xf borderId="62" fillId="11" fontId="2" numFmtId="170" xfId="0" applyAlignment="1" applyBorder="1" applyFont="1" applyNumberFormat="1">
      <alignment vertical="center"/>
    </xf>
    <xf borderId="96" fillId="0" fontId="2" numFmtId="169" xfId="0" applyAlignment="1" applyBorder="1" applyFont="1" applyNumberFormat="1">
      <alignment vertical="center"/>
    </xf>
    <xf borderId="97" fillId="0" fontId="2" numFmtId="169" xfId="0" applyAlignment="1" applyBorder="1" applyFont="1" applyNumberFormat="1">
      <alignment vertical="center"/>
    </xf>
    <xf borderId="98" fillId="0" fontId="2" numFmtId="169" xfId="0" applyAlignment="1" applyBorder="1" applyFont="1" applyNumberFormat="1">
      <alignment vertical="center"/>
    </xf>
    <xf borderId="17" fillId="11" fontId="2" numFmtId="0" xfId="0" applyAlignment="1" applyBorder="1" applyFont="1">
      <alignment horizontal="center" vertical="center"/>
    </xf>
    <xf borderId="62" fillId="11" fontId="2" numFmtId="169" xfId="0" applyAlignment="1" applyBorder="1" applyFont="1" applyNumberFormat="1">
      <alignment vertical="center"/>
    </xf>
    <xf borderId="17" fillId="11" fontId="2" numFmtId="169" xfId="0" applyAlignment="1" applyBorder="1" applyFont="1" applyNumberFormat="1">
      <alignment vertical="center"/>
    </xf>
    <xf borderId="78" fillId="0" fontId="2" numFmtId="169" xfId="0" applyAlignment="1" applyBorder="1" applyFont="1" applyNumberFormat="1">
      <alignment vertical="center"/>
    </xf>
    <xf borderId="99" fillId="0" fontId="2" numFmtId="169" xfId="0" applyAlignment="1" applyBorder="1" applyFont="1" applyNumberFormat="1">
      <alignment vertical="center"/>
    </xf>
    <xf borderId="17" fillId="11" fontId="2" numFmtId="171" xfId="0" applyAlignment="1" applyBorder="1" applyFont="1" applyNumberFormat="1">
      <alignment vertical="center"/>
    </xf>
    <xf borderId="84" fillId="0" fontId="2" numFmtId="169" xfId="0" applyAlignment="1" applyBorder="1" applyFont="1" applyNumberFormat="1">
      <alignment vertical="center"/>
    </xf>
    <xf borderId="87" fillId="0" fontId="2" numFmtId="169" xfId="0" applyAlignment="1" applyBorder="1" applyFont="1" applyNumberFormat="1">
      <alignment vertical="center"/>
    </xf>
    <xf borderId="100" fillId="0" fontId="2" numFmtId="169" xfId="0" applyAlignment="1" applyBorder="1" applyFont="1" applyNumberFormat="1">
      <alignment vertical="center"/>
    </xf>
    <xf borderId="101" fillId="0" fontId="2" numFmtId="169" xfId="0" applyAlignment="1" applyBorder="1" applyFont="1" applyNumberFormat="1">
      <alignment vertical="center"/>
    </xf>
    <xf borderId="102" fillId="0" fontId="2" numFmtId="169" xfId="0" applyAlignment="1" applyBorder="1" applyFont="1" applyNumberFormat="1">
      <alignment vertical="center"/>
    </xf>
    <xf borderId="103" fillId="0" fontId="2" numFmtId="169" xfId="0" applyAlignment="1" applyBorder="1" applyFont="1" applyNumberFormat="1">
      <alignment vertical="center"/>
    </xf>
    <xf borderId="104" fillId="0" fontId="2" numFmtId="169" xfId="0" applyAlignment="1" applyBorder="1" applyFont="1" applyNumberFormat="1">
      <alignment vertical="center"/>
    </xf>
    <xf borderId="75" fillId="10" fontId="26" numFmtId="0" xfId="0" applyAlignment="1" applyBorder="1" applyFont="1">
      <alignment vertical="center"/>
    </xf>
    <xf borderId="76" fillId="9" fontId="2" numFmtId="0" xfId="0" applyAlignment="1" applyBorder="1" applyFont="1">
      <alignment horizontal="center" vertical="center"/>
    </xf>
    <xf borderId="76" fillId="11" fontId="2" numFmtId="167" xfId="0" applyAlignment="1" applyBorder="1" applyFont="1" applyNumberFormat="1">
      <alignment horizontal="center" vertical="center"/>
    </xf>
    <xf borderId="105" fillId="0" fontId="2" numFmtId="169" xfId="0" applyAlignment="1" applyBorder="1" applyFont="1" applyNumberFormat="1">
      <alignment readingOrder="0" vertical="center"/>
    </xf>
    <xf borderId="106" fillId="0" fontId="2" numFmtId="169" xfId="0" applyAlignment="1" applyBorder="1" applyFont="1" applyNumberFormat="1">
      <alignment readingOrder="0" vertical="center"/>
    </xf>
    <xf borderId="107" fillId="0" fontId="2" numFmtId="169" xfId="0" applyAlignment="1" applyBorder="1" applyFont="1" applyNumberFormat="1">
      <alignment vertical="center"/>
    </xf>
    <xf borderId="17" fillId="2" fontId="2" numFmtId="0" xfId="0" applyAlignment="1" applyBorder="1" applyFont="1">
      <alignment horizontal="center" vertical="center"/>
    </xf>
    <xf borderId="108" fillId="0" fontId="2" numFmtId="169" xfId="0" applyAlignment="1" applyBorder="1" applyFont="1" applyNumberFormat="1">
      <alignment vertical="center"/>
    </xf>
    <xf borderId="17" fillId="0" fontId="27" numFmtId="0" xfId="0" applyAlignment="1" applyBorder="1" applyFont="1">
      <alignment vertical="center"/>
    </xf>
    <xf borderId="17" fillId="0" fontId="27" numFmtId="172" xfId="0" applyAlignment="1" applyBorder="1" applyFont="1" applyNumberFormat="1">
      <alignment readingOrder="0" vertical="center"/>
    </xf>
    <xf borderId="17" fillId="0" fontId="27" numFmtId="0" xfId="0" applyAlignment="1" applyBorder="1" applyFont="1">
      <alignment readingOrder="0" vertical="center"/>
    </xf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hyperlink" Target="#&#12513;&#12531;&#12496;&#12540;&#20837;&#21147;" TargetMode="External"/><Relationship Id="rId2" Type="http://schemas.openxmlformats.org/officeDocument/2006/relationships/hyperlink" Target="#&#20104;&#23450;&#20837;&#21147;&#12471;&#12540;&#12488;!&#12513;&#12531;&#12496;&#12540;&#20837;&#21147;" TargetMode="External"/><Relationship Id="rId3" Type="http://schemas.openxmlformats.org/officeDocument/2006/relationships/hyperlink" Target="#&#20104;&#23450;&#20837;&#21147;&#12471;&#12540;&#12488;!&#12513;&#12531;&#12496;&#12540;&#20837;&#21147;" TargetMode="External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hyperlink" Target="#&#32076;&#36027;&#31649;&#29702;TOP" TargetMode="External"/><Relationship Id="rId2" Type="http://schemas.openxmlformats.org/officeDocument/2006/relationships/hyperlink" Target="#&#12513;&#12531;&#12496;&#12540;&#20837;&#21147;" TargetMode="External"/><Relationship Id="rId3" Type="http://schemas.openxmlformats.org/officeDocument/2006/relationships/hyperlink" Target="#&#32076;&#36027;&#31649;&#29702;TOP" TargetMode="External"/><Relationship Id="rId4" Type="http://schemas.openxmlformats.org/officeDocument/2006/relationships/hyperlink" Target="#&#20104;&#23450;&#20837;&#21147;&#12471;&#12540;&#12488;!&#12513;&#12531;&#12496;&#12540;&#20837;&#21147;" TargetMode="External"/><Relationship Id="rId5" Type="http://schemas.openxmlformats.org/officeDocument/2006/relationships/hyperlink" Target="#&#20104;&#23450;&#20837;&#21147;&#12471;&#12540;&#12488;!&#12513;&#12531;&#12496;&#12540;&#20837;&#21147;" TargetMode="External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hyperlink" Target="#&#32076;&#36027;&#31649;&#29702;TOP" TargetMode="External"/><Relationship Id="rId2" Type="http://schemas.openxmlformats.org/officeDocument/2006/relationships/hyperlink" Target="#&#12513;&#12531;&#12496;&#12540;&#20837;&#21147;" TargetMode="External"/><Relationship Id="rId3" Type="http://schemas.openxmlformats.org/officeDocument/2006/relationships/hyperlink" Target="#&#32076;&#36027;&#31649;&#29702;TOP" TargetMode="External"/><Relationship Id="rId4" Type="http://schemas.openxmlformats.org/officeDocument/2006/relationships/image" Target="../media/image1.pn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4</xdr:row>
      <xdr:rowOff>0</xdr:rowOff>
    </xdr:from>
    <xdr:ext cx="2295525" cy="266700"/>
    <xdr:sp>
      <xdr:nvSpPr>
        <xdr:cNvPr id="3" name="Shape 3"/>
        <xdr:cNvSpPr txBox="1"/>
      </xdr:nvSpPr>
      <xdr:spPr>
        <a:xfrm>
          <a:off x="4198238" y="3646650"/>
          <a:ext cx="2295525" cy="266700"/>
        </a:xfrm>
        <a:prstGeom prst="rect">
          <a:avLst/>
        </a:prstGeom>
        <a:solidFill>
          <a:srgbClr val="FF99CC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FF0000"/>
              </a:solidFill>
              <a:latin typeface="MS Gothic"/>
              <a:ea typeface="MS Gothic"/>
              <a:cs typeface="MS Gothic"/>
              <a:sym typeface="MS Gothic"/>
            </a:rPr>
            <a:t>■プロジェクト収支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17</xdr:row>
      <xdr:rowOff>0</xdr:rowOff>
    </xdr:from>
    <xdr:ext cx="4638675" cy="266700"/>
    <xdr:sp>
      <xdr:nvSpPr>
        <xdr:cNvPr id="4" name="Shape 4"/>
        <xdr:cNvSpPr txBox="1"/>
      </xdr:nvSpPr>
      <xdr:spPr>
        <a:xfrm>
          <a:off x="3026663" y="3646650"/>
          <a:ext cx="4638675" cy="266700"/>
        </a:xfrm>
        <a:prstGeom prst="rect">
          <a:avLst/>
        </a:prstGeom>
        <a:solidFill>
          <a:srgbClr val="00FF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■経費集計表</a:t>
          </a:r>
          <a:endParaRPr sz="1400"/>
        </a:p>
      </xdr:txBody>
    </xdr:sp>
    <xdr:clientData fLocksWithSheet="0"/>
  </xdr:oneCellAnchor>
  <xdr:oneCellAnchor>
    <xdr:from>
      <xdr:col>8</xdr:col>
      <xdr:colOff>647700</xdr:colOff>
      <xdr:row>17</xdr:row>
      <xdr:rowOff>0</xdr:rowOff>
    </xdr:from>
    <xdr:ext cx="5048250" cy="266700"/>
    <xdr:sp>
      <xdr:nvSpPr>
        <xdr:cNvPr id="5" name="Shape 5"/>
        <xdr:cNvSpPr txBox="1"/>
      </xdr:nvSpPr>
      <xdr:spPr>
        <a:xfrm>
          <a:off x="2826638" y="3646650"/>
          <a:ext cx="5038725" cy="266700"/>
        </a:xfrm>
        <a:prstGeom prst="rect">
          <a:avLst/>
        </a:prstGeom>
        <a:solidFill>
          <a:srgbClr val="FFCC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■単価表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28</xdr:row>
      <xdr:rowOff>0</xdr:rowOff>
    </xdr:from>
    <xdr:ext cx="10248900" cy="266700"/>
    <xdr:sp>
      <xdr:nvSpPr>
        <xdr:cNvPr id="6" name="Shape 6"/>
        <xdr:cNvSpPr txBox="1"/>
      </xdr:nvSpPr>
      <xdr:spPr>
        <a:xfrm>
          <a:off x="221550" y="3646650"/>
          <a:ext cx="10248900" cy="266700"/>
        </a:xfrm>
        <a:prstGeom prst="rect">
          <a:avLst/>
        </a:prstGeom>
        <a:solidFill>
          <a:srgbClr val="00CC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■経費詳細</a:t>
          </a:r>
          <a:endParaRPr sz="1400"/>
        </a:p>
      </xdr:txBody>
    </xdr:sp>
    <xdr:clientData fLocksWithSheet="0"/>
  </xdr:oneCellAnchor>
  <xdr:oneCellAnchor>
    <xdr:from>
      <xdr:col>5</xdr:col>
      <xdr:colOff>0</xdr:colOff>
      <xdr:row>4</xdr:row>
      <xdr:rowOff>0</xdr:rowOff>
    </xdr:from>
    <xdr:ext cx="1895475" cy="266700"/>
    <xdr:sp>
      <xdr:nvSpPr>
        <xdr:cNvPr id="7" name="Shape 7"/>
        <xdr:cNvSpPr txBox="1"/>
      </xdr:nvSpPr>
      <xdr:spPr>
        <a:xfrm>
          <a:off x="4398263" y="3646650"/>
          <a:ext cx="1895475" cy="266700"/>
        </a:xfrm>
        <a:prstGeom prst="rect">
          <a:avLst/>
        </a:prstGeom>
        <a:solidFill>
          <a:srgbClr val="FFFF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■チーム情報</a:t>
          </a:r>
          <a:endParaRPr sz="1400"/>
        </a:p>
      </xdr:txBody>
    </xdr:sp>
    <xdr:clientData fLocksWithSheet="0"/>
  </xdr:oneCellAnchor>
  <xdr:oneCellAnchor>
    <xdr:from>
      <xdr:col>0</xdr:col>
      <xdr:colOff>9525</xdr:colOff>
      <xdr:row>0</xdr:row>
      <xdr:rowOff>9525</xdr:rowOff>
    </xdr:from>
    <xdr:ext cx="7334250" cy="409575"/>
    <xdr:sp>
      <xdr:nvSpPr>
        <xdr:cNvPr id="8" name="Shape 8"/>
        <xdr:cNvSpPr txBox="1"/>
      </xdr:nvSpPr>
      <xdr:spPr>
        <a:xfrm>
          <a:off x="1678875" y="3579975"/>
          <a:ext cx="7334250" cy="400050"/>
        </a:xfrm>
        <a:prstGeom prst="rect">
          <a:avLst/>
        </a:prstGeom>
        <a:gradFill>
          <a:gsLst>
            <a:gs pos="0">
              <a:srgbClr val="00FFFF"/>
            </a:gs>
            <a:gs pos="50000">
              <a:srgbClr val="CCFFCC"/>
            </a:gs>
            <a:gs pos="100000">
              <a:srgbClr val="00FFFF"/>
            </a:gs>
          </a:gsLst>
          <a:lin ang="5400000" scaled="0"/>
        </a:gradFill>
        <a:ln>
          <a:noFill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45700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8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《経費管理表》</a:t>
          </a:r>
          <a:endParaRPr sz="1400"/>
        </a:p>
      </xdr:txBody>
    </xdr:sp>
    <xdr:clientData fLocksWithSheet="0"/>
  </xdr:oneCellAnchor>
  <xdr:oneCellAnchor>
    <xdr:from>
      <xdr:col>12</xdr:col>
      <xdr:colOff>485775</xdr:colOff>
      <xdr:row>0</xdr:row>
      <xdr:rowOff>38100</xdr:rowOff>
    </xdr:from>
    <xdr:ext cx="1295400" cy="257175"/>
    <xdr:sp>
      <xdr:nvSpPr>
        <xdr:cNvPr id="9" name="Shape 9">
          <a:hlinkClick r:id="rId1"/>
        </xdr:cNvPr>
        <xdr:cNvSpPr txBox="1"/>
      </xdr:nvSpPr>
      <xdr:spPr>
        <a:xfrm>
          <a:off x="4698300" y="3651413"/>
          <a:ext cx="1295400" cy="257175"/>
        </a:xfrm>
        <a:prstGeom prst="rect">
          <a:avLst/>
        </a:prstGeom>
        <a:gradFill>
          <a:gsLst>
            <a:gs pos="0">
              <a:srgbClr val="FFFFFF"/>
            </a:gs>
            <a:gs pos="100000">
              <a:srgbClr val="99CCFF"/>
            </a:gs>
          </a:gsLst>
          <a:path path="circle">
            <a:fillToRect b="50%" l="50%" r="50%" t="50%"/>
          </a:path>
          <a:tileRect/>
        </a:gra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メンバー経費入力</a:t>
          </a:r>
          <a:endParaRPr sz="1400"/>
        </a:p>
      </xdr:txBody>
    </xdr:sp>
    <xdr:clientData fLocksWithSheet="0"/>
  </xdr:oneCellAnchor>
  <xdr:oneCellAnchor>
    <xdr:from>
      <xdr:col>7</xdr:col>
      <xdr:colOff>285750</xdr:colOff>
      <xdr:row>0</xdr:row>
      <xdr:rowOff>85725</xdr:rowOff>
    </xdr:from>
    <xdr:ext cx="2943225" cy="257175"/>
    <xdr:sp>
      <xdr:nvSpPr>
        <xdr:cNvPr id="10" name="Shape 10">
          <a:hlinkClick r:id="rId2"/>
        </xdr:cNvPr>
        <xdr:cNvSpPr txBox="1"/>
      </xdr:nvSpPr>
      <xdr:spPr>
        <a:xfrm>
          <a:off x="3879150" y="3651413"/>
          <a:ext cx="2933700" cy="257175"/>
        </a:xfrm>
        <a:prstGeom prst="rect">
          <a:avLst/>
        </a:prstGeom>
        <a:gradFill>
          <a:gsLst>
            <a:gs pos="0">
              <a:srgbClr val="FFFFFF"/>
            </a:gs>
            <a:gs pos="100000">
              <a:srgbClr val="FFFF00"/>
            </a:gs>
          </a:gsLst>
          <a:path path="circle">
            <a:fillToRect b="50%" l="50%" r="50%" t="50%"/>
          </a:path>
          <a:tileRect/>
        </a:gra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strike="noStrike">
              <a:solidFill>
                <a:srgbClr val="FF0000"/>
              </a:solidFill>
              <a:latin typeface="MS Gothic"/>
              <a:ea typeface="MS Gothic"/>
              <a:cs typeface="MS Gothic"/>
              <a:sym typeface="MS Gothic"/>
            </a:rPr>
            <a:t>予定入力→確定して下さい（ここをクリック！）</a:t>
          </a:r>
          <a:endParaRPr sz="1400"/>
        </a:p>
      </xdr:txBody>
    </xdr:sp>
    <xdr:clientData fLocksWithSheet="0"/>
  </xdr:oneCellAnchor>
  <xdr:oneCellAnchor>
    <xdr:from>
      <xdr:col>15</xdr:col>
      <xdr:colOff>38100</xdr:colOff>
      <xdr:row>0</xdr:row>
      <xdr:rowOff>47625</xdr:rowOff>
    </xdr:from>
    <xdr:ext cx="714375" cy="257175"/>
    <xdr:sp>
      <xdr:nvSpPr>
        <xdr:cNvPr id="11" name="Shape 11">
          <a:hlinkClick r:id="rId3"/>
        </xdr:cNvPr>
        <xdr:cNvSpPr txBox="1"/>
      </xdr:nvSpPr>
      <xdr:spPr>
        <a:xfrm>
          <a:off x="4988813" y="3651413"/>
          <a:ext cx="714375" cy="257175"/>
        </a:xfrm>
        <a:prstGeom prst="rect">
          <a:avLst/>
        </a:prstGeom>
        <a:solidFill>
          <a:srgbClr val="FF99CC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予定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2</xdr:row>
      <xdr:rowOff>0</xdr:rowOff>
    </xdr:from>
    <xdr:ext cx="9620250" cy="266700"/>
    <xdr:sp>
      <xdr:nvSpPr>
        <xdr:cNvPr id="12" name="Shape 12"/>
        <xdr:cNvSpPr txBox="1"/>
      </xdr:nvSpPr>
      <xdr:spPr>
        <a:xfrm>
          <a:off x="535875" y="3646650"/>
          <a:ext cx="9620250" cy="266700"/>
        </a:xfrm>
        <a:prstGeom prst="rect">
          <a:avLst/>
        </a:prstGeom>
        <a:solidFill>
          <a:srgbClr val="0000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FFFF00"/>
              </a:solidFill>
              <a:latin typeface="MS Gothic"/>
              <a:ea typeface="MS Gothic"/>
              <a:cs typeface="MS Gothic"/>
              <a:sym typeface="MS Gothic"/>
            </a:rPr>
            <a:t>■メンバー経費管理</a:t>
          </a:r>
          <a:endParaRPr sz="1400"/>
        </a:p>
      </xdr:txBody>
    </xdr:sp>
    <xdr:clientData fLocksWithSheet="0"/>
  </xdr:oneCellAnchor>
  <xdr:oneCellAnchor>
    <xdr:from>
      <xdr:col>10</xdr:col>
      <xdr:colOff>9525</xdr:colOff>
      <xdr:row>2</xdr:row>
      <xdr:rowOff>19050</xdr:rowOff>
    </xdr:from>
    <xdr:ext cx="1181100" cy="200025"/>
    <xdr:sp>
      <xdr:nvSpPr>
        <xdr:cNvPr id="13" name="Shape 13">
          <a:hlinkClick r:id="rId1"/>
        </xdr:cNvPr>
        <xdr:cNvSpPr txBox="1"/>
      </xdr:nvSpPr>
      <xdr:spPr>
        <a:xfrm>
          <a:off x="4755450" y="3679988"/>
          <a:ext cx="1181100" cy="200025"/>
        </a:xfrm>
        <a:prstGeom prst="rect">
          <a:avLst/>
        </a:prstGeom>
        <a:solidFill>
          <a:srgbClr val="FFFF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←経費管理シートへ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36</xdr:row>
      <xdr:rowOff>0</xdr:rowOff>
    </xdr:from>
    <xdr:ext cx="9620250" cy="266700"/>
    <xdr:sp>
      <xdr:nvSpPr>
        <xdr:cNvPr id="14" name="Shape 14"/>
        <xdr:cNvSpPr txBox="1"/>
      </xdr:nvSpPr>
      <xdr:spPr>
        <a:xfrm>
          <a:off x="535875" y="3646650"/>
          <a:ext cx="9620250" cy="266700"/>
        </a:xfrm>
        <a:prstGeom prst="rect">
          <a:avLst/>
        </a:prstGeom>
        <a:solidFill>
          <a:srgbClr val="CC99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000080"/>
              </a:solidFill>
              <a:latin typeface="MS Gothic"/>
              <a:ea typeface="MS Gothic"/>
              <a:cs typeface="MS Gothic"/>
              <a:sym typeface="MS Gothic"/>
            </a:rPr>
            <a:t>■外注経費管理</a:t>
          </a:r>
          <a:endParaRPr sz="1400"/>
        </a:p>
      </xdr:txBody>
    </xdr:sp>
    <xdr:clientData fLocksWithSheet="0"/>
  </xdr:oneCellAnchor>
  <xdr:oneCellAnchor>
    <xdr:from>
      <xdr:col>7</xdr:col>
      <xdr:colOff>9525</xdr:colOff>
      <xdr:row>36</xdr:row>
      <xdr:rowOff>19050</xdr:rowOff>
    </xdr:from>
    <xdr:ext cx="1343025" cy="200025"/>
    <xdr:sp>
      <xdr:nvSpPr>
        <xdr:cNvPr id="15" name="Shape 15">
          <a:hlinkClick r:id="rId2"/>
        </xdr:cNvPr>
        <xdr:cNvSpPr txBox="1"/>
      </xdr:nvSpPr>
      <xdr:spPr>
        <a:xfrm>
          <a:off x="4674488" y="3679988"/>
          <a:ext cx="1343025" cy="200025"/>
        </a:xfrm>
        <a:prstGeom prst="rect">
          <a:avLst/>
        </a:prstGeom>
        <a:solidFill>
          <a:srgbClr val="99CC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↑メンバー経費管理</a:t>
          </a:r>
          <a:endParaRPr sz="1400"/>
        </a:p>
      </xdr:txBody>
    </xdr:sp>
    <xdr:clientData fLocksWithSheet="0"/>
  </xdr:oneCellAnchor>
  <xdr:oneCellAnchor>
    <xdr:from>
      <xdr:col>10</xdr:col>
      <xdr:colOff>28575</xdr:colOff>
      <xdr:row>36</xdr:row>
      <xdr:rowOff>19050</xdr:rowOff>
    </xdr:from>
    <xdr:ext cx="1181100" cy="200025"/>
    <xdr:sp>
      <xdr:nvSpPr>
        <xdr:cNvPr id="16" name="Shape 16">
          <a:hlinkClick r:id="rId3"/>
        </xdr:cNvPr>
        <xdr:cNvSpPr txBox="1"/>
      </xdr:nvSpPr>
      <xdr:spPr>
        <a:xfrm>
          <a:off x="4755450" y="3679988"/>
          <a:ext cx="1181100" cy="200025"/>
        </a:xfrm>
        <a:prstGeom prst="rect">
          <a:avLst/>
        </a:prstGeom>
        <a:solidFill>
          <a:srgbClr val="FFFF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←経費管理シート</a:t>
          </a:r>
          <a:endParaRPr sz="1400"/>
        </a:p>
      </xdr:txBody>
    </xdr:sp>
    <xdr:clientData fLocksWithSheet="0"/>
  </xdr:oneCellAnchor>
  <xdr:oneCellAnchor>
    <xdr:from>
      <xdr:col>8</xdr:col>
      <xdr:colOff>47625</xdr:colOff>
      <xdr:row>3</xdr:row>
      <xdr:rowOff>0</xdr:rowOff>
    </xdr:from>
    <xdr:ext cx="2847975" cy="409575"/>
    <xdr:sp>
      <xdr:nvSpPr>
        <xdr:cNvPr id="17" name="Shape 17"/>
        <xdr:cNvSpPr txBox="1"/>
      </xdr:nvSpPr>
      <xdr:spPr>
        <a:xfrm>
          <a:off x="3922013" y="3575213"/>
          <a:ext cx="2847975" cy="409575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lnSpc>
              <a:spcPct val="122222"/>
            </a:lnSpc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各メンバーの作業工数を、"分"単位で入力します。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※日報記入の時間も含みます。</a:t>
          </a:r>
          <a:endParaRPr sz="1400"/>
        </a:p>
      </xdr:txBody>
    </xdr:sp>
    <xdr:clientData fLocksWithSheet="0"/>
  </xdr:oneCellAnchor>
  <xdr:oneCellAnchor>
    <xdr:from>
      <xdr:col>7</xdr:col>
      <xdr:colOff>647700</xdr:colOff>
      <xdr:row>5</xdr:row>
      <xdr:rowOff>38100</xdr:rowOff>
    </xdr:from>
    <xdr:ext cx="38100" cy="257175"/>
    <xdr:grpSp>
      <xdr:nvGrpSpPr>
        <xdr:cNvPr id="2" name="Shape 2"/>
        <xdr:cNvGrpSpPr/>
      </xdr:nvGrpSpPr>
      <xdr:grpSpPr>
        <a:xfrm>
          <a:off x="5346000" y="3651413"/>
          <a:ext cx="0" cy="257175"/>
          <a:chOff x="5346000" y="3651413"/>
          <a:chExt cx="0" cy="257175"/>
        </a:xfrm>
      </xdr:grpSpPr>
      <xdr:cxnSp>
        <xdr:nvCxnSpPr>
          <xdr:cNvPr id="18" name="Shape 18"/>
          <xdr:cNvCxnSpPr/>
        </xdr:nvCxnSpPr>
        <xdr:spPr>
          <a:xfrm>
            <a:off x="5346000" y="3651413"/>
            <a:ext cx="0" cy="257175"/>
          </a:xfrm>
          <a:prstGeom prst="straightConnector1">
            <a:avLst/>
          </a:prstGeom>
          <a:noFill/>
          <a:ln cap="flat" cmpd="sng" w="12700">
            <a:solidFill>
              <a:srgbClr val="FF66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8</xdr:col>
      <xdr:colOff>47625</xdr:colOff>
      <xdr:row>19</xdr:row>
      <xdr:rowOff>152400</xdr:rowOff>
    </xdr:from>
    <xdr:ext cx="2847975" cy="38100"/>
    <xdr:sp>
      <xdr:nvSpPr>
        <xdr:cNvPr id="19" name="Shape 19"/>
        <xdr:cNvSpPr txBox="1"/>
      </xdr:nvSpPr>
      <xdr:spPr>
        <a:xfrm>
          <a:off x="3922013" y="3775238"/>
          <a:ext cx="2847975" cy="9525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顧客との打ち合わせ及び検収の回数を入力します。</a:t>
          </a:r>
          <a:endParaRPr sz="1400"/>
        </a:p>
      </xdr:txBody>
    </xdr:sp>
    <xdr:clientData fLocksWithSheet="0"/>
  </xdr:oneCellAnchor>
  <xdr:oneCellAnchor>
    <xdr:from>
      <xdr:col>8</xdr:col>
      <xdr:colOff>38100</xdr:colOff>
      <xdr:row>20</xdr:row>
      <xdr:rowOff>0</xdr:rowOff>
    </xdr:from>
    <xdr:ext cx="2847975" cy="219075"/>
    <xdr:sp>
      <xdr:nvSpPr>
        <xdr:cNvPr id="20" name="Shape 20"/>
        <xdr:cNvSpPr txBox="1"/>
      </xdr:nvSpPr>
      <xdr:spPr>
        <a:xfrm>
          <a:off x="3922013" y="3670463"/>
          <a:ext cx="2847975" cy="219075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各メンバーの教育受講回数を入力します。</a:t>
          </a:r>
          <a:endParaRPr sz="1400"/>
        </a:p>
      </xdr:txBody>
    </xdr:sp>
    <xdr:clientData fLocksWithSheet="0"/>
  </xdr:oneCellAnchor>
  <xdr:oneCellAnchor>
    <xdr:from>
      <xdr:col>7</xdr:col>
      <xdr:colOff>647700</xdr:colOff>
      <xdr:row>21</xdr:row>
      <xdr:rowOff>38100</xdr:rowOff>
    </xdr:from>
    <xdr:ext cx="38100" cy="257175"/>
    <xdr:grpSp>
      <xdr:nvGrpSpPr>
        <xdr:cNvPr id="2" name="Shape 2"/>
        <xdr:cNvGrpSpPr/>
      </xdr:nvGrpSpPr>
      <xdr:grpSpPr>
        <a:xfrm>
          <a:off x="5346000" y="3651413"/>
          <a:ext cx="0" cy="257175"/>
          <a:chOff x="5346000" y="3651413"/>
          <a:chExt cx="0" cy="257175"/>
        </a:xfrm>
      </xdr:grpSpPr>
      <xdr:cxnSp>
        <xdr:nvCxnSpPr>
          <xdr:cNvPr id="21" name="Shape 21"/>
          <xdr:cNvCxnSpPr/>
        </xdr:nvCxnSpPr>
        <xdr:spPr>
          <a:xfrm>
            <a:off x="5346000" y="3651413"/>
            <a:ext cx="0" cy="257175"/>
          </a:xfrm>
          <a:prstGeom prst="straightConnector1">
            <a:avLst/>
          </a:prstGeom>
          <a:noFill/>
          <a:ln cap="flat" cmpd="sng" w="12700">
            <a:solidFill>
              <a:srgbClr val="FF66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15</xdr:col>
      <xdr:colOff>304800</xdr:colOff>
      <xdr:row>19</xdr:row>
      <xdr:rowOff>19050</xdr:rowOff>
    </xdr:from>
    <xdr:ext cx="2809875" cy="161925"/>
    <xdr:sp>
      <xdr:nvSpPr>
        <xdr:cNvPr id="22" name="Shape 22"/>
        <xdr:cNvSpPr txBox="1"/>
      </xdr:nvSpPr>
      <xdr:spPr>
        <a:xfrm>
          <a:off x="3941063" y="3703800"/>
          <a:ext cx="2809875" cy="152400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技術サポートを受けた工数を"分"単位で入力します。</a:t>
          </a:r>
          <a:endParaRPr sz="1400"/>
        </a:p>
      </xdr:txBody>
    </xdr:sp>
    <xdr:clientData fLocksWithSheet="0"/>
  </xdr:oneCellAnchor>
  <xdr:oneCellAnchor>
    <xdr:from>
      <xdr:col>13</xdr:col>
      <xdr:colOff>647700</xdr:colOff>
      <xdr:row>15</xdr:row>
      <xdr:rowOff>180975</xdr:rowOff>
    </xdr:from>
    <xdr:ext cx="847725" cy="838200"/>
    <xdr:grpSp>
      <xdr:nvGrpSpPr>
        <xdr:cNvPr id="2" name="Shape 2"/>
        <xdr:cNvGrpSpPr/>
      </xdr:nvGrpSpPr>
      <xdr:grpSpPr>
        <a:xfrm>
          <a:off x="4931663" y="3370425"/>
          <a:ext cx="828675" cy="819150"/>
          <a:chOff x="4931663" y="3370425"/>
          <a:chExt cx="828675" cy="819150"/>
        </a:xfrm>
      </xdr:grpSpPr>
      <xdr:cxnSp>
        <xdr:nvCxnSpPr>
          <xdr:cNvPr id="23" name="Shape 23"/>
          <xdr:cNvCxnSpPr/>
        </xdr:nvCxnSpPr>
        <xdr:spPr>
          <a:xfrm rot="10800000">
            <a:off x="4931663" y="3370425"/>
            <a:ext cx="828675" cy="819150"/>
          </a:xfrm>
          <a:prstGeom prst="straightConnector1">
            <a:avLst/>
          </a:prstGeom>
          <a:noFill/>
          <a:ln cap="flat" cmpd="sng" w="12700">
            <a:solidFill>
              <a:srgbClr val="FF66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15</xdr:col>
      <xdr:colOff>38100</xdr:colOff>
      <xdr:row>2</xdr:row>
      <xdr:rowOff>19050</xdr:rowOff>
    </xdr:from>
    <xdr:ext cx="866775" cy="200025"/>
    <xdr:sp>
      <xdr:nvSpPr>
        <xdr:cNvPr id="24" name="Shape 24">
          <a:hlinkClick r:id="rId4"/>
        </xdr:cNvPr>
        <xdr:cNvSpPr txBox="1"/>
      </xdr:nvSpPr>
      <xdr:spPr>
        <a:xfrm>
          <a:off x="4912613" y="3679988"/>
          <a:ext cx="866775" cy="200025"/>
        </a:xfrm>
        <a:prstGeom prst="rect">
          <a:avLst/>
        </a:prstGeom>
        <a:solidFill>
          <a:srgbClr val="FF99CC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予定→</a:t>
          </a:r>
          <a:endParaRPr sz="1400"/>
        </a:p>
      </xdr:txBody>
    </xdr:sp>
    <xdr:clientData fLocksWithSheet="0"/>
  </xdr:oneCellAnchor>
  <xdr:oneCellAnchor>
    <xdr:from>
      <xdr:col>15</xdr:col>
      <xdr:colOff>38100</xdr:colOff>
      <xdr:row>36</xdr:row>
      <xdr:rowOff>19050</xdr:rowOff>
    </xdr:from>
    <xdr:ext cx="866775" cy="200025"/>
    <xdr:sp>
      <xdr:nvSpPr>
        <xdr:cNvPr id="25" name="Shape 25">
          <a:hlinkClick r:id="rId5"/>
        </xdr:cNvPr>
        <xdr:cNvSpPr txBox="1"/>
      </xdr:nvSpPr>
      <xdr:spPr>
        <a:xfrm>
          <a:off x="4912613" y="3679988"/>
          <a:ext cx="866775" cy="200025"/>
        </a:xfrm>
        <a:prstGeom prst="rect">
          <a:avLst/>
        </a:prstGeom>
        <a:solidFill>
          <a:srgbClr val="FF99CC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予定→</a:t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2</xdr:row>
      <xdr:rowOff>0</xdr:rowOff>
    </xdr:from>
    <xdr:ext cx="9620250" cy="266700"/>
    <xdr:sp>
      <xdr:nvSpPr>
        <xdr:cNvPr id="26" name="Shape 26"/>
        <xdr:cNvSpPr txBox="1"/>
      </xdr:nvSpPr>
      <xdr:spPr>
        <a:xfrm>
          <a:off x="535875" y="3646650"/>
          <a:ext cx="9620250" cy="266700"/>
        </a:xfrm>
        <a:prstGeom prst="rect">
          <a:avLst/>
        </a:prstGeom>
        <a:solidFill>
          <a:srgbClr val="0000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FFFF00"/>
              </a:solidFill>
              <a:latin typeface="MS Gothic"/>
              <a:ea typeface="MS Gothic"/>
              <a:cs typeface="MS Gothic"/>
              <a:sym typeface="MS Gothic"/>
            </a:rPr>
            <a:t>■メンバー経費</a:t>
          </a:r>
          <a:endParaRPr sz="1400"/>
        </a:p>
      </xdr:txBody>
    </xdr:sp>
    <xdr:clientData fLocksWithSheet="0"/>
  </xdr:oneCellAnchor>
  <xdr:oneCellAnchor>
    <xdr:from>
      <xdr:col>10</xdr:col>
      <xdr:colOff>9525</xdr:colOff>
      <xdr:row>2</xdr:row>
      <xdr:rowOff>19050</xdr:rowOff>
    </xdr:from>
    <xdr:ext cx="1181100" cy="200025"/>
    <xdr:sp>
      <xdr:nvSpPr>
        <xdr:cNvPr id="27" name="Shape 27">
          <a:hlinkClick r:id="rId1"/>
        </xdr:cNvPr>
        <xdr:cNvSpPr txBox="1"/>
      </xdr:nvSpPr>
      <xdr:spPr>
        <a:xfrm>
          <a:off x="4755450" y="3679988"/>
          <a:ext cx="1181100" cy="200025"/>
        </a:xfrm>
        <a:prstGeom prst="rect">
          <a:avLst/>
        </a:prstGeom>
        <a:solidFill>
          <a:srgbClr val="FFFF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←経費管理シートへ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36</xdr:row>
      <xdr:rowOff>0</xdr:rowOff>
    </xdr:from>
    <xdr:ext cx="9620250" cy="266700"/>
    <xdr:sp>
      <xdr:nvSpPr>
        <xdr:cNvPr id="28" name="Shape 28"/>
        <xdr:cNvSpPr txBox="1"/>
      </xdr:nvSpPr>
      <xdr:spPr>
        <a:xfrm>
          <a:off x="535875" y="3646650"/>
          <a:ext cx="9620250" cy="266700"/>
        </a:xfrm>
        <a:prstGeom prst="rect">
          <a:avLst/>
        </a:prstGeom>
        <a:solidFill>
          <a:srgbClr val="CC99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000080"/>
              </a:solidFill>
              <a:latin typeface="MS Gothic"/>
              <a:ea typeface="MS Gothic"/>
              <a:cs typeface="MS Gothic"/>
              <a:sym typeface="MS Gothic"/>
            </a:rPr>
            <a:t>■外注経費</a:t>
          </a:r>
          <a:endParaRPr sz="1400"/>
        </a:p>
      </xdr:txBody>
    </xdr:sp>
    <xdr:clientData fLocksWithSheet="0"/>
  </xdr:oneCellAnchor>
  <xdr:oneCellAnchor>
    <xdr:from>
      <xdr:col>7</xdr:col>
      <xdr:colOff>9525</xdr:colOff>
      <xdr:row>36</xdr:row>
      <xdr:rowOff>19050</xdr:rowOff>
    </xdr:from>
    <xdr:ext cx="1343025" cy="200025"/>
    <xdr:sp>
      <xdr:nvSpPr>
        <xdr:cNvPr id="29" name="Shape 29">
          <a:hlinkClick r:id="rId2"/>
        </xdr:cNvPr>
        <xdr:cNvSpPr txBox="1"/>
      </xdr:nvSpPr>
      <xdr:spPr>
        <a:xfrm>
          <a:off x="4674488" y="3679988"/>
          <a:ext cx="1343025" cy="200025"/>
        </a:xfrm>
        <a:prstGeom prst="rect">
          <a:avLst/>
        </a:prstGeom>
        <a:solidFill>
          <a:srgbClr val="99CC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↑メンバー経費管理</a:t>
          </a:r>
          <a:endParaRPr sz="1400"/>
        </a:p>
      </xdr:txBody>
    </xdr:sp>
    <xdr:clientData fLocksWithSheet="0"/>
  </xdr:oneCellAnchor>
  <xdr:oneCellAnchor>
    <xdr:from>
      <xdr:col>10</xdr:col>
      <xdr:colOff>28575</xdr:colOff>
      <xdr:row>36</xdr:row>
      <xdr:rowOff>19050</xdr:rowOff>
    </xdr:from>
    <xdr:ext cx="1181100" cy="200025"/>
    <xdr:sp>
      <xdr:nvSpPr>
        <xdr:cNvPr id="30" name="Shape 30">
          <a:hlinkClick r:id="rId3"/>
        </xdr:cNvPr>
        <xdr:cNvSpPr txBox="1"/>
      </xdr:nvSpPr>
      <xdr:spPr>
        <a:xfrm>
          <a:off x="4755450" y="3679988"/>
          <a:ext cx="1181100" cy="200025"/>
        </a:xfrm>
        <a:prstGeom prst="rect">
          <a:avLst/>
        </a:prstGeom>
        <a:solidFill>
          <a:srgbClr val="FFFF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←経費管理シート</a:t>
          </a:r>
          <a:endParaRPr sz="1400"/>
        </a:p>
      </xdr:txBody>
    </xdr:sp>
    <xdr:clientData fLocksWithSheet="0"/>
  </xdr:oneCellAnchor>
  <xdr:oneCellAnchor>
    <xdr:from>
      <xdr:col>8</xdr:col>
      <xdr:colOff>38100</xdr:colOff>
      <xdr:row>3</xdr:row>
      <xdr:rowOff>28575</xdr:rowOff>
    </xdr:from>
    <xdr:ext cx="2847975" cy="371475"/>
    <xdr:sp>
      <xdr:nvSpPr>
        <xdr:cNvPr id="31" name="Shape 31"/>
        <xdr:cNvSpPr txBox="1"/>
      </xdr:nvSpPr>
      <xdr:spPr>
        <a:xfrm>
          <a:off x="3922013" y="3594263"/>
          <a:ext cx="2847975" cy="371475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lnSpc>
              <a:spcPct val="122222"/>
            </a:lnSpc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各メンバーの作業工数を、"分"単位で入力します。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※日報記入の時間も含みます。</a:t>
          </a:r>
          <a:endParaRPr sz="1400"/>
        </a:p>
      </xdr:txBody>
    </xdr:sp>
    <xdr:clientData fLocksWithSheet="0"/>
  </xdr:oneCellAnchor>
  <xdr:oneCellAnchor>
    <xdr:from>
      <xdr:col>7</xdr:col>
      <xdr:colOff>647700</xdr:colOff>
      <xdr:row>5</xdr:row>
      <xdr:rowOff>47625</xdr:rowOff>
    </xdr:from>
    <xdr:ext cx="38100" cy="257175"/>
    <xdr:grpSp>
      <xdr:nvGrpSpPr>
        <xdr:cNvPr id="2" name="Shape 2"/>
        <xdr:cNvGrpSpPr/>
      </xdr:nvGrpSpPr>
      <xdr:grpSpPr>
        <a:xfrm>
          <a:off x="5346000" y="3651413"/>
          <a:ext cx="0" cy="257175"/>
          <a:chOff x="5346000" y="3651413"/>
          <a:chExt cx="0" cy="257175"/>
        </a:xfrm>
      </xdr:grpSpPr>
      <xdr:cxnSp>
        <xdr:nvCxnSpPr>
          <xdr:cNvPr id="18" name="Shape 18"/>
          <xdr:cNvCxnSpPr/>
        </xdr:nvCxnSpPr>
        <xdr:spPr>
          <a:xfrm>
            <a:off x="5346000" y="3651413"/>
            <a:ext cx="0" cy="257175"/>
          </a:xfrm>
          <a:prstGeom prst="straightConnector1">
            <a:avLst/>
          </a:prstGeom>
          <a:noFill/>
          <a:ln cap="flat" cmpd="sng" w="12700">
            <a:solidFill>
              <a:srgbClr val="FF66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8</xdr:col>
      <xdr:colOff>38100</xdr:colOff>
      <xdr:row>20</xdr:row>
      <xdr:rowOff>0</xdr:rowOff>
    </xdr:from>
    <xdr:ext cx="2847975" cy="228600"/>
    <xdr:sp>
      <xdr:nvSpPr>
        <xdr:cNvPr id="32" name="Shape 32"/>
        <xdr:cNvSpPr txBox="1"/>
      </xdr:nvSpPr>
      <xdr:spPr>
        <a:xfrm>
          <a:off x="3922013" y="3665700"/>
          <a:ext cx="2847975" cy="228600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各メンバーの教育受講回数を入力します。</a:t>
          </a:r>
          <a:endParaRPr sz="1400"/>
        </a:p>
      </xdr:txBody>
    </xdr:sp>
    <xdr:clientData fLocksWithSheet="0"/>
  </xdr:oneCellAnchor>
  <xdr:oneCellAnchor>
    <xdr:from>
      <xdr:col>7</xdr:col>
      <xdr:colOff>647700</xdr:colOff>
      <xdr:row>21</xdr:row>
      <xdr:rowOff>47625</xdr:rowOff>
    </xdr:from>
    <xdr:ext cx="38100" cy="257175"/>
    <xdr:grpSp>
      <xdr:nvGrpSpPr>
        <xdr:cNvPr id="2" name="Shape 2"/>
        <xdr:cNvGrpSpPr/>
      </xdr:nvGrpSpPr>
      <xdr:grpSpPr>
        <a:xfrm>
          <a:off x="5346000" y="3651413"/>
          <a:ext cx="0" cy="257175"/>
          <a:chOff x="5346000" y="3651413"/>
          <a:chExt cx="0" cy="257175"/>
        </a:xfrm>
      </xdr:grpSpPr>
      <xdr:cxnSp>
        <xdr:nvCxnSpPr>
          <xdr:cNvPr id="21" name="Shape 21"/>
          <xdr:cNvCxnSpPr/>
        </xdr:nvCxnSpPr>
        <xdr:spPr>
          <a:xfrm>
            <a:off x="5346000" y="3651413"/>
            <a:ext cx="0" cy="257175"/>
          </a:xfrm>
          <a:prstGeom prst="straightConnector1">
            <a:avLst/>
          </a:prstGeom>
          <a:noFill/>
          <a:ln cap="flat" cmpd="sng" w="12700">
            <a:solidFill>
              <a:srgbClr val="FF66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15</xdr:col>
      <xdr:colOff>28575</xdr:colOff>
      <xdr:row>19</xdr:row>
      <xdr:rowOff>28575</xdr:rowOff>
    </xdr:from>
    <xdr:ext cx="2809875" cy="152400"/>
    <xdr:sp>
      <xdr:nvSpPr>
        <xdr:cNvPr id="33" name="Shape 33"/>
        <xdr:cNvSpPr txBox="1"/>
      </xdr:nvSpPr>
      <xdr:spPr>
        <a:xfrm>
          <a:off x="3941063" y="3708563"/>
          <a:ext cx="2809875" cy="142875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技術サポートを受けた工数を"分"単位で入力します。</a:t>
          </a:r>
          <a:endParaRPr sz="1400"/>
        </a:p>
      </xdr:txBody>
    </xdr:sp>
    <xdr:clientData fLocksWithSheet="0"/>
  </xdr:oneCellAnchor>
  <xdr:oneCellAnchor>
    <xdr:from>
      <xdr:col>13</xdr:col>
      <xdr:colOff>571500</xdr:colOff>
      <xdr:row>18</xdr:row>
      <xdr:rowOff>9525</xdr:rowOff>
    </xdr:from>
    <xdr:ext cx="704850" cy="266700"/>
    <xdr:grpSp>
      <xdr:nvGrpSpPr>
        <xdr:cNvPr id="2" name="Shape 2"/>
        <xdr:cNvGrpSpPr/>
      </xdr:nvGrpSpPr>
      <xdr:grpSpPr>
        <a:xfrm>
          <a:off x="5003100" y="3651413"/>
          <a:ext cx="685800" cy="257175"/>
          <a:chOff x="5003100" y="3651413"/>
          <a:chExt cx="685800" cy="257175"/>
        </a:xfrm>
      </xdr:grpSpPr>
      <xdr:cxnSp>
        <xdr:nvCxnSpPr>
          <xdr:cNvPr id="34" name="Shape 34"/>
          <xdr:cNvCxnSpPr/>
        </xdr:nvCxnSpPr>
        <xdr:spPr>
          <a:xfrm rot="10800000">
            <a:off x="5003100" y="3651413"/>
            <a:ext cx="685800" cy="257175"/>
          </a:xfrm>
          <a:prstGeom prst="straightConnector1">
            <a:avLst/>
          </a:prstGeom>
          <a:noFill/>
          <a:ln cap="flat" cmpd="sng" w="12700">
            <a:solidFill>
              <a:srgbClr val="FF66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15</xdr:col>
      <xdr:colOff>47625</xdr:colOff>
      <xdr:row>0</xdr:row>
      <xdr:rowOff>9525</xdr:rowOff>
    </xdr:from>
    <xdr:ext cx="895350" cy="276225"/>
    <xdr:pic>
      <xdr:nvPicPr>
        <xdr:cNvPr id="0" name="image1.png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323850</xdr:colOff>
      <xdr:row>0</xdr:row>
      <xdr:rowOff>133350</xdr:rowOff>
    </xdr:from>
    <xdr:ext cx="1181100" cy="457200"/>
    <xdr:pic>
      <xdr:nvPicPr>
        <xdr:cNvPr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tabColor rgb="FFCCFFCC"/>
    <pageSetUpPr/>
  </sheetPr>
  <sheetViews>
    <sheetView showGridLines="0" workbookViewId="0"/>
  </sheetViews>
  <sheetFormatPr customHeight="1" defaultColWidth="14.43" defaultRowHeight="15.0"/>
  <cols>
    <col customWidth="1" min="1" max="1" width="2.0"/>
    <col customWidth="1" min="2" max="2" width="11.43"/>
    <col customWidth="1" min="3" max="16" width="9.14"/>
    <col customWidth="1" min="17" max="17" width="12.14"/>
    <col customWidth="1" min="18" max="26" width="9.0"/>
  </cols>
  <sheetData>
    <row r="1" ht="33.0" customHeight="1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3"/>
      <c r="P1" s="3"/>
      <c r="Q1" s="4"/>
      <c r="R1" s="2"/>
      <c r="S1" s="2"/>
      <c r="T1" s="2"/>
      <c r="U1" s="2"/>
      <c r="V1" s="2"/>
      <c r="W1" s="2"/>
      <c r="X1" s="2"/>
      <c r="Y1" s="2"/>
      <c r="Z1" s="2"/>
    </row>
    <row r="2" ht="12.75" customHeight="1">
      <c r="A2" s="5"/>
      <c r="B2" s="5"/>
      <c r="C2" s="5"/>
      <c r="D2" s="5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19.5" customHeight="1">
      <c r="A3" s="5"/>
      <c r="B3" s="6" t="s">
        <v>0</v>
      </c>
      <c r="C3" s="7">
        <v>9000000.0</v>
      </c>
      <c r="D3" s="8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4.25" customHeight="1">
      <c r="A4" s="9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21.0" customHeight="1">
      <c r="A5" s="10"/>
      <c r="B5" s="11"/>
      <c r="C5" s="11"/>
      <c r="D5" s="11"/>
      <c r="E5" s="11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4.25" customHeight="1">
      <c r="A6" s="9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12" t="s">
        <v>1</v>
      </c>
      <c r="T6" s="2"/>
      <c r="U6" s="2"/>
      <c r="V6" s="2"/>
      <c r="W6" s="2"/>
      <c r="X6" s="2"/>
      <c r="Y6" s="2"/>
      <c r="Z6" s="2"/>
    </row>
    <row r="7" ht="18.0" customHeight="1">
      <c r="A7" s="9"/>
      <c r="B7" s="13"/>
      <c r="C7" s="14" t="s">
        <v>2</v>
      </c>
      <c r="D7" s="15" t="s">
        <v>3</v>
      </c>
      <c r="E7" s="2"/>
      <c r="F7" s="16" t="s">
        <v>4</v>
      </c>
      <c r="G7" s="17" t="s">
        <v>5</v>
      </c>
      <c r="H7" s="18"/>
      <c r="I7" s="2"/>
      <c r="J7" s="2"/>
      <c r="K7" s="2"/>
      <c r="L7" s="2"/>
      <c r="M7" s="2"/>
      <c r="N7" s="2"/>
      <c r="O7" s="2"/>
      <c r="P7" s="2"/>
      <c r="Q7" s="2"/>
      <c r="R7" s="2"/>
      <c r="S7" s="12" t="s">
        <v>6</v>
      </c>
      <c r="T7" s="2"/>
      <c r="U7" s="2"/>
      <c r="V7" s="2"/>
      <c r="W7" s="2"/>
      <c r="X7" s="2"/>
      <c r="Y7" s="2"/>
      <c r="Z7" s="2"/>
    </row>
    <row r="8" ht="18.0" customHeight="1">
      <c r="A8" s="9"/>
      <c r="B8" s="19" t="s">
        <v>7</v>
      </c>
      <c r="C8" s="20">
        <f>C3/1000</f>
        <v>9000</v>
      </c>
      <c r="D8" s="21">
        <f>C8</f>
        <v>9000</v>
      </c>
      <c r="E8" s="2"/>
      <c r="F8" s="22" t="s">
        <v>8</v>
      </c>
      <c r="G8" s="23" t="s">
        <v>9</v>
      </c>
      <c r="H8" s="24"/>
      <c r="I8" s="2"/>
      <c r="J8" s="2"/>
      <c r="K8" s="2"/>
      <c r="L8" s="2"/>
      <c r="M8" s="2"/>
      <c r="N8" s="2"/>
      <c r="O8" s="2"/>
      <c r="P8" s="2"/>
      <c r="Q8" s="2"/>
      <c r="R8" s="2"/>
      <c r="S8" s="12" t="s">
        <v>10</v>
      </c>
      <c r="T8" s="2"/>
      <c r="U8" s="2"/>
      <c r="V8" s="2"/>
      <c r="W8" s="2"/>
      <c r="X8" s="2"/>
      <c r="Y8" s="2"/>
      <c r="Z8" s="2"/>
    </row>
    <row r="9" ht="18.0" customHeight="1">
      <c r="A9" s="9"/>
      <c r="B9" s="25" t="s">
        <v>11</v>
      </c>
      <c r="C9" s="26">
        <f>P56/1000</f>
        <v>3570</v>
      </c>
      <c r="D9" s="27">
        <f>P57/1000</f>
        <v>4060</v>
      </c>
      <c r="E9" s="2"/>
      <c r="F9" s="28" t="str">
        <f>IF(COUNTA(G8:H15)&gt;0,COUNTA(G8:H15)&amp;"名","")</f>
        <v>6名</v>
      </c>
      <c r="G9" s="29" t="s">
        <v>12</v>
      </c>
      <c r="H9" s="30"/>
      <c r="I9" s="2"/>
      <c r="J9" s="2"/>
      <c r="K9" s="2"/>
      <c r="L9" s="2"/>
      <c r="M9" s="2"/>
      <c r="N9" s="2"/>
      <c r="O9" s="2"/>
      <c r="P9" s="2"/>
      <c r="Q9" s="2"/>
      <c r="R9" s="2"/>
      <c r="S9" s="12" t="s">
        <v>13</v>
      </c>
      <c r="T9" s="2"/>
      <c r="U9" s="2"/>
      <c r="V9" s="2"/>
      <c r="W9" s="2"/>
      <c r="X9" s="2"/>
      <c r="Y9" s="2"/>
      <c r="Z9" s="2"/>
    </row>
    <row r="10" ht="18.0" customHeight="1">
      <c r="A10" s="9"/>
      <c r="B10" s="25" t="s">
        <v>14</v>
      </c>
      <c r="C10" s="26">
        <f t="shared" ref="C10:D10" si="1">C8-C9</f>
        <v>5430</v>
      </c>
      <c r="D10" s="27">
        <f t="shared" si="1"/>
        <v>4940</v>
      </c>
      <c r="E10" s="2"/>
      <c r="F10" s="31" t="s">
        <v>15</v>
      </c>
      <c r="G10" s="29" t="s">
        <v>16</v>
      </c>
      <c r="H10" s="30"/>
      <c r="I10" s="2"/>
      <c r="J10" s="2"/>
      <c r="K10" s="2"/>
      <c r="L10" s="2"/>
      <c r="M10" s="2"/>
      <c r="N10" s="2"/>
      <c r="O10" s="2"/>
      <c r="P10" s="2"/>
      <c r="Q10" s="2"/>
      <c r="R10" s="2"/>
      <c r="S10" s="12" t="s">
        <v>17</v>
      </c>
      <c r="T10" s="2"/>
      <c r="U10" s="2"/>
      <c r="V10" s="2"/>
      <c r="W10" s="2"/>
      <c r="X10" s="2"/>
      <c r="Y10" s="2"/>
      <c r="Z10" s="2"/>
    </row>
    <row r="11" ht="18.0" customHeight="1">
      <c r="A11" s="9"/>
      <c r="B11" s="32" t="s">
        <v>18</v>
      </c>
      <c r="C11" s="33">
        <f t="shared" ref="C11:D11" si="2">IF(C8&gt;0,C10/C8,"")</f>
        <v>0.6033333333</v>
      </c>
      <c r="D11" s="34">
        <f t="shared" si="2"/>
        <v>0.5488888889</v>
      </c>
      <c r="E11" s="2"/>
      <c r="F11" s="31" t="s">
        <v>19</v>
      </c>
      <c r="G11" s="29" t="s">
        <v>20</v>
      </c>
      <c r="H11" s="30"/>
      <c r="I11" s="2"/>
      <c r="J11" s="2"/>
      <c r="K11" s="2"/>
      <c r="L11" s="2"/>
      <c r="M11" s="2"/>
      <c r="N11" s="2"/>
      <c r="O11" s="2"/>
      <c r="P11" s="2"/>
      <c r="Q11" s="2"/>
      <c r="R11" s="2"/>
      <c r="S11" s="12" t="s">
        <v>21</v>
      </c>
      <c r="T11" s="2"/>
      <c r="U11" s="2"/>
      <c r="V11" s="2"/>
      <c r="W11" s="2"/>
      <c r="X11" s="2"/>
      <c r="Y11" s="2"/>
      <c r="Z11" s="2"/>
    </row>
    <row r="12" ht="18.0" customHeight="1">
      <c r="A12" s="35" t="str">
        <f>IF(F8="","×","")</f>
        <v/>
      </c>
      <c r="B12" s="36"/>
      <c r="C12" s="37"/>
      <c r="D12" s="38" t="s">
        <v>22</v>
      </c>
      <c r="E12" s="2"/>
      <c r="F12" s="31" t="s">
        <v>23</v>
      </c>
      <c r="G12" s="29" t="s">
        <v>24</v>
      </c>
      <c r="H12" s="30"/>
      <c r="I12" s="2"/>
      <c r="J12" s="2"/>
      <c r="K12" s="2"/>
      <c r="L12" s="2"/>
      <c r="M12" s="2"/>
      <c r="N12" s="2"/>
      <c r="O12" s="2"/>
      <c r="P12" s="2"/>
      <c r="Q12" s="2"/>
      <c r="R12" s="2"/>
      <c r="S12" s="12" t="s">
        <v>8</v>
      </c>
      <c r="T12" s="2"/>
      <c r="U12" s="2"/>
      <c r="V12" s="2"/>
      <c r="W12" s="2"/>
      <c r="X12" s="2"/>
      <c r="Y12" s="2"/>
      <c r="Z12" s="2"/>
    </row>
    <row r="13" ht="18.0" customHeight="1">
      <c r="A13" s="35" t="str">
        <f>IF(COUNTA(G8:H15)=0,"×","")</f>
        <v/>
      </c>
      <c r="B13" s="39" t="str">
        <f>IF(OR(C3="",C3&lt;=0)=TRUE,"予算額を入力して下さい.","")</f>
        <v/>
      </c>
      <c r="C13" s="40"/>
      <c r="D13" s="40"/>
      <c r="E13" s="2"/>
      <c r="F13" s="31" t="s">
        <v>25</v>
      </c>
      <c r="G13" s="29" t="s">
        <v>26</v>
      </c>
      <c r="H13" s="30"/>
      <c r="I13" s="2"/>
      <c r="J13" s="2"/>
      <c r="K13" s="2"/>
      <c r="L13" s="2"/>
      <c r="M13" s="2"/>
      <c r="N13" s="2"/>
      <c r="O13" s="2"/>
      <c r="P13" s="2"/>
      <c r="Q13" s="2"/>
      <c r="R13" s="2"/>
      <c r="S13" s="12" t="s">
        <v>27</v>
      </c>
      <c r="T13" s="2"/>
      <c r="U13" s="2"/>
      <c r="V13" s="2"/>
      <c r="W13" s="2"/>
      <c r="X13" s="2"/>
      <c r="Y13" s="2"/>
      <c r="Z13" s="2"/>
    </row>
    <row r="14" ht="18.0" customHeight="1">
      <c r="A14" s="9"/>
      <c r="B14" s="39" t="str">
        <f>IF(OR(A12="×",A13="×")=TRUE,"チーム情報を入力して下さい.","")</f>
        <v/>
      </c>
      <c r="C14" s="40"/>
      <c r="D14" s="40"/>
      <c r="E14" s="2"/>
      <c r="F14" s="31" t="s">
        <v>28</v>
      </c>
      <c r="G14" s="41"/>
      <c r="H14" s="30"/>
      <c r="I14" s="2"/>
      <c r="J14" s="2"/>
      <c r="K14" s="2"/>
      <c r="L14" s="2"/>
      <c r="M14" s="2"/>
      <c r="N14" s="2"/>
      <c r="O14" s="2"/>
      <c r="P14" s="2"/>
      <c r="Q14" s="2"/>
      <c r="R14" s="2"/>
      <c r="S14" s="12" t="s">
        <v>29</v>
      </c>
      <c r="T14" s="2"/>
      <c r="U14" s="2"/>
      <c r="V14" s="2"/>
      <c r="W14" s="2"/>
      <c r="X14" s="2"/>
      <c r="Y14" s="2"/>
      <c r="Z14" s="2"/>
    </row>
    <row r="15" ht="18.0" customHeight="1">
      <c r="A15" s="9"/>
      <c r="B15" s="39" t="str">
        <f>IF(予定入力&lt;&gt;"○","予定を入力し、確定して下さい.","")</f>
        <v>予定を入力し、確定して下さい.</v>
      </c>
      <c r="C15" s="40"/>
      <c r="D15" s="40"/>
      <c r="E15" s="2"/>
      <c r="F15" s="42" t="s">
        <v>30</v>
      </c>
      <c r="G15" s="43"/>
      <c r="H15" s="44"/>
      <c r="I15" s="2"/>
      <c r="J15" s="2"/>
      <c r="K15" s="2"/>
      <c r="L15" s="2"/>
      <c r="M15" s="2"/>
      <c r="N15" s="2"/>
      <c r="O15" s="2"/>
      <c r="P15" s="2"/>
      <c r="Q15" s="2"/>
      <c r="R15" s="2"/>
      <c r="S15" s="12" t="s">
        <v>31</v>
      </c>
      <c r="T15" s="2"/>
      <c r="U15" s="2"/>
      <c r="V15" s="2"/>
      <c r="W15" s="2"/>
      <c r="X15" s="2"/>
      <c r="Y15" s="2"/>
      <c r="Z15" s="2"/>
    </row>
    <row r="16" ht="18.0" customHeight="1">
      <c r="A16" s="9"/>
      <c r="B16" s="45"/>
      <c r="C16" s="37"/>
      <c r="D16" s="37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12" t="s">
        <v>32</v>
      </c>
      <c r="T16" s="2"/>
      <c r="U16" s="2"/>
      <c r="V16" s="2"/>
      <c r="W16" s="2"/>
      <c r="X16" s="2"/>
      <c r="Y16" s="2"/>
      <c r="Z16" s="2"/>
    </row>
    <row r="17" ht="14.25" customHeight="1">
      <c r="A17" s="9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12" t="s">
        <v>33</v>
      </c>
      <c r="T17" s="2"/>
      <c r="U17" s="2"/>
      <c r="V17" s="2"/>
      <c r="W17" s="2"/>
      <c r="X17" s="2"/>
      <c r="Y17" s="2"/>
      <c r="Z17" s="2"/>
    </row>
    <row r="18" ht="18.0" customHeight="1">
      <c r="A18" s="9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12" t="s">
        <v>34</v>
      </c>
      <c r="T18" s="2"/>
      <c r="U18" s="2"/>
      <c r="V18" s="2"/>
      <c r="W18" s="2"/>
      <c r="X18" s="2"/>
      <c r="Y18" s="2"/>
      <c r="Z18" s="2"/>
    </row>
    <row r="19" ht="14.25" customHeight="1">
      <c r="A19" s="9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12"/>
      <c r="T19" s="2"/>
      <c r="U19" s="2"/>
      <c r="V19" s="2"/>
      <c r="W19" s="2"/>
      <c r="X19" s="2"/>
      <c r="Y19" s="2"/>
      <c r="Z19" s="2"/>
    </row>
    <row r="20" ht="18.0" customHeight="1">
      <c r="A20" s="9"/>
      <c r="B20" s="46" t="s">
        <v>35</v>
      </c>
      <c r="C20" s="47"/>
      <c r="D20" s="48"/>
      <c r="E20" s="49" t="s">
        <v>36</v>
      </c>
      <c r="F20" s="48"/>
      <c r="G20" s="50" t="s">
        <v>37</v>
      </c>
      <c r="H20" s="51"/>
      <c r="I20" s="2"/>
      <c r="J20" s="52" t="s">
        <v>35</v>
      </c>
      <c r="K20" s="47"/>
      <c r="L20" s="48"/>
      <c r="M20" s="53" t="s">
        <v>38</v>
      </c>
      <c r="N20" s="48"/>
      <c r="O20" s="53" t="s">
        <v>39</v>
      </c>
      <c r="P20" s="47"/>
      <c r="Q20" s="51"/>
      <c r="R20" s="2"/>
      <c r="S20" s="12"/>
      <c r="T20" s="2"/>
      <c r="U20" s="2"/>
      <c r="V20" s="2"/>
      <c r="W20" s="2"/>
      <c r="X20" s="2"/>
      <c r="Y20" s="2"/>
      <c r="Z20" s="2"/>
    </row>
    <row r="21" ht="18.0" customHeight="1">
      <c r="A21" s="9"/>
      <c r="B21" s="54" t="s">
        <v>40</v>
      </c>
      <c r="C21" s="55"/>
      <c r="D21" s="55"/>
      <c r="E21" s="56">
        <f>P34</f>
        <v>2730000</v>
      </c>
      <c r="F21" s="57"/>
      <c r="G21" s="58">
        <f>P35</f>
        <v>3220000</v>
      </c>
      <c r="H21" s="59"/>
      <c r="I21" s="2"/>
      <c r="J21" s="54" t="s">
        <v>40</v>
      </c>
      <c r="K21" s="55"/>
      <c r="L21" s="55"/>
      <c r="M21" s="60">
        <f>IF(COUNTA(G8:H15)=0,0,1050/COUNTA(G8:H15))</f>
        <v>175</v>
      </c>
      <c r="N21" s="61"/>
      <c r="O21" s="62" t="s">
        <v>41</v>
      </c>
      <c r="P21" s="55"/>
      <c r="Q21" s="63"/>
      <c r="R21" s="2"/>
      <c r="S21" s="12"/>
      <c r="T21" s="2"/>
      <c r="U21" s="2"/>
      <c r="V21" s="2"/>
      <c r="W21" s="2"/>
      <c r="X21" s="2"/>
      <c r="Y21" s="2"/>
      <c r="Z21" s="2"/>
    </row>
    <row r="22" ht="18.0" hidden="1" customHeight="1">
      <c r="A22" s="9"/>
      <c r="B22" s="64" t="s">
        <v>42</v>
      </c>
      <c r="C22" s="65"/>
      <c r="D22" s="65"/>
      <c r="E22" s="66">
        <f>P42</f>
        <v>0</v>
      </c>
      <c r="F22" s="67"/>
      <c r="G22" s="68">
        <f>P43</f>
        <v>0</v>
      </c>
      <c r="H22" s="69"/>
      <c r="I22" s="2"/>
      <c r="J22" s="64" t="s">
        <v>42</v>
      </c>
      <c r="K22" s="65"/>
      <c r="L22" s="65"/>
      <c r="M22" s="70">
        <v>400000.0</v>
      </c>
      <c r="N22" s="67"/>
      <c r="O22" s="71" t="s">
        <v>43</v>
      </c>
      <c r="P22" s="65"/>
      <c r="Q22" s="69"/>
      <c r="R22" s="2"/>
      <c r="S22" s="12"/>
      <c r="T22" s="2"/>
      <c r="U22" s="2"/>
      <c r="V22" s="2"/>
      <c r="W22" s="2"/>
      <c r="X22" s="2"/>
      <c r="Y22" s="2"/>
      <c r="Z22" s="2"/>
    </row>
    <row r="23" ht="18.0" hidden="1" customHeight="1">
      <c r="A23" s="9"/>
      <c r="B23" s="64" t="s">
        <v>44</v>
      </c>
      <c r="C23" s="65"/>
      <c r="D23" s="65"/>
      <c r="E23" s="66">
        <f>P46</f>
        <v>0</v>
      </c>
      <c r="F23" s="67"/>
      <c r="G23" s="68">
        <f>P47</f>
        <v>0</v>
      </c>
      <c r="H23" s="69"/>
      <c r="I23" s="2"/>
      <c r="J23" s="64" t="s">
        <v>44</v>
      </c>
      <c r="K23" s="65"/>
      <c r="L23" s="65"/>
      <c r="M23" s="70">
        <v>200000.0</v>
      </c>
      <c r="N23" s="67"/>
      <c r="O23" s="71" t="s">
        <v>43</v>
      </c>
      <c r="P23" s="65"/>
      <c r="Q23" s="69"/>
      <c r="R23" s="2"/>
      <c r="S23" s="12"/>
      <c r="T23" s="2"/>
      <c r="U23" s="2"/>
      <c r="V23" s="2"/>
      <c r="W23" s="2"/>
      <c r="X23" s="2"/>
      <c r="Y23" s="2"/>
      <c r="Z23" s="2"/>
    </row>
    <row r="24" ht="18.0" hidden="1" customHeight="1">
      <c r="A24" s="9"/>
      <c r="B24" s="64" t="s">
        <v>45</v>
      </c>
      <c r="C24" s="65"/>
      <c r="D24" s="65"/>
      <c r="E24" s="66">
        <f>P50</f>
        <v>0</v>
      </c>
      <c r="F24" s="67"/>
      <c r="G24" s="68">
        <f>P51</f>
        <v>0</v>
      </c>
      <c r="H24" s="69"/>
      <c r="I24" s="2"/>
      <c r="J24" s="64" t="s">
        <v>45</v>
      </c>
      <c r="K24" s="65"/>
      <c r="L24" s="65"/>
      <c r="M24" s="70">
        <v>100000.0</v>
      </c>
      <c r="N24" s="67"/>
      <c r="O24" s="71" t="s">
        <v>43</v>
      </c>
      <c r="P24" s="65"/>
      <c r="Q24" s="69"/>
      <c r="R24" s="2"/>
      <c r="S24" s="12"/>
      <c r="T24" s="2"/>
      <c r="U24" s="2"/>
      <c r="V24" s="2"/>
      <c r="W24" s="2"/>
      <c r="X24" s="2"/>
      <c r="Y24" s="2"/>
      <c r="Z24" s="2"/>
    </row>
    <row r="25" ht="18.0" customHeight="1">
      <c r="A25" s="9"/>
      <c r="B25" s="64" t="s">
        <v>46</v>
      </c>
      <c r="C25" s="65"/>
      <c r="D25" s="65"/>
      <c r="E25" s="66">
        <f>P54</f>
        <v>0</v>
      </c>
      <c r="F25" s="67"/>
      <c r="G25" s="68">
        <f>P55</f>
        <v>0</v>
      </c>
      <c r="H25" s="69"/>
      <c r="I25" s="2"/>
      <c r="J25" s="64" t="s">
        <v>46</v>
      </c>
      <c r="K25" s="65"/>
      <c r="L25" s="65"/>
      <c r="M25" s="70">
        <v>6000.0</v>
      </c>
      <c r="N25" s="67"/>
      <c r="O25" s="71" t="s">
        <v>47</v>
      </c>
      <c r="P25" s="65"/>
      <c r="Q25" s="69"/>
      <c r="R25" s="2"/>
      <c r="S25" s="12"/>
      <c r="T25" s="2"/>
      <c r="U25" s="2"/>
      <c r="V25" s="2"/>
      <c r="W25" s="2"/>
      <c r="X25" s="2"/>
      <c r="Y25" s="2"/>
      <c r="Z25" s="2"/>
    </row>
    <row r="26" ht="18.0" customHeight="1">
      <c r="A26" s="9"/>
      <c r="B26" s="64" t="s">
        <v>48</v>
      </c>
      <c r="C26" s="65"/>
      <c r="D26" s="65"/>
      <c r="E26" s="66">
        <f>P38</f>
        <v>300000</v>
      </c>
      <c r="F26" s="67"/>
      <c r="G26" s="68">
        <f>P39</f>
        <v>300000</v>
      </c>
      <c r="H26" s="69"/>
      <c r="I26" s="2"/>
      <c r="J26" s="64" t="s">
        <v>48</v>
      </c>
      <c r="K26" s="65"/>
      <c r="L26" s="65"/>
      <c r="M26" s="70">
        <v>100000.0</v>
      </c>
      <c r="N26" s="67"/>
      <c r="O26" s="71" t="s">
        <v>49</v>
      </c>
      <c r="P26" s="65"/>
      <c r="Q26" s="69"/>
      <c r="R26" s="2"/>
      <c r="S26" s="12"/>
      <c r="T26" s="2"/>
      <c r="U26" s="2"/>
      <c r="V26" s="2"/>
      <c r="W26" s="2"/>
      <c r="X26" s="2"/>
      <c r="Y26" s="2"/>
      <c r="Z26" s="2"/>
    </row>
    <row r="27" ht="18.0" customHeight="1">
      <c r="A27" s="9"/>
      <c r="B27" s="72" t="s">
        <v>50</v>
      </c>
      <c r="C27" s="73"/>
      <c r="D27" s="73"/>
      <c r="E27" s="74">
        <f>IF(COUNTA(G8:H15)&gt;0,COUNTA(G8:H15)*M27,0)</f>
        <v>540000</v>
      </c>
      <c r="F27" s="75"/>
      <c r="G27" s="76">
        <f>IF(COUNTA(G8:H15)&gt;0,COUNTA(G8:H15)*M27,0)</f>
        <v>540000</v>
      </c>
      <c r="H27" s="77"/>
      <c r="I27" s="2"/>
      <c r="J27" s="72" t="s">
        <v>50</v>
      </c>
      <c r="K27" s="73"/>
      <c r="L27" s="73"/>
      <c r="M27" s="78">
        <f>IF(COUNTA(G8:H15)=0,0,ROUNDUP(540000/COUNTA(G8:H15),-2))</f>
        <v>90000</v>
      </c>
      <c r="N27" s="75"/>
      <c r="O27" s="79" t="s">
        <v>51</v>
      </c>
      <c r="P27" s="73"/>
      <c r="Q27" s="77"/>
      <c r="R27" s="2"/>
      <c r="S27" s="12"/>
      <c r="T27" s="2"/>
      <c r="U27" s="2"/>
      <c r="V27" s="2"/>
      <c r="W27" s="2"/>
      <c r="X27" s="2"/>
      <c r="Y27" s="2"/>
      <c r="Z27" s="2"/>
    </row>
    <row r="28" ht="14.25" customHeight="1">
      <c r="A28" s="9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21.0" customHeight="1">
      <c r="A29" s="10"/>
      <c r="B29" s="2"/>
      <c r="C29" s="2"/>
      <c r="D29" s="2"/>
      <c r="E29" s="2"/>
      <c r="F29" s="2"/>
      <c r="G29" s="2"/>
      <c r="H29" s="2"/>
      <c r="I29" s="2"/>
      <c r="J29" s="2"/>
      <c r="K29" s="2"/>
      <c r="L29" s="80"/>
      <c r="M29" s="2"/>
      <c r="N29" s="2"/>
      <c r="O29" s="2"/>
      <c r="P29" s="81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4.25" customHeight="1">
      <c r="A30" s="9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8.0" customHeight="1">
      <c r="A31" s="82"/>
      <c r="B31" s="83" t="s">
        <v>52</v>
      </c>
      <c r="C31" s="48"/>
      <c r="D31" s="84">
        <v>44830.0</v>
      </c>
      <c r="E31" s="84">
        <v>44837.0</v>
      </c>
      <c r="F31" s="84">
        <v>44851.0</v>
      </c>
      <c r="G31" s="84">
        <v>44858.0</v>
      </c>
      <c r="H31" s="84">
        <v>44865.0</v>
      </c>
      <c r="I31" s="84">
        <v>44872.0</v>
      </c>
      <c r="J31" s="84">
        <v>44879.0</v>
      </c>
      <c r="K31" s="84">
        <v>44886.0</v>
      </c>
      <c r="L31" s="84">
        <v>44893.0</v>
      </c>
      <c r="M31" s="84">
        <v>44900.0</v>
      </c>
      <c r="N31" s="84">
        <v>44907.0</v>
      </c>
      <c r="O31" s="84">
        <v>44914.0</v>
      </c>
      <c r="P31" s="85" t="s">
        <v>53</v>
      </c>
      <c r="Q31" s="36"/>
      <c r="R31" s="36"/>
      <c r="S31" s="36"/>
      <c r="T31" s="36"/>
      <c r="U31" s="36"/>
      <c r="V31" s="36"/>
      <c r="W31" s="36"/>
      <c r="X31" s="36"/>
      <c r="Y31" s="36"/>
      <c r="Z31" s="36"/>
    </row>
    <row r="32" ht="15.75" customHeight="1">
      <c r="A32" s="9"/>
      <c r="B32" s="86" t="s">
        <v>54</v>
      </c>
      <c r="C32" s="87" t="s">
        <v>55</v>
      </c>
      <c r="D32" s="88">
        <f>'予定入力シート'!C19-'予定入力シート'!C16</f>
        <v>1200</v>
      </c>
      <c r="E32" s="88">
        <f>'予定入力シート'!D19-'予定入力シート'!D16</f>
        <v>1200</v>
      </c>
      <c r="F32" s="88">
        <f>'予定入力シート'!E19-'予定入力シート'!E16</f>
        <v>1200</v>
      </c>
      <c r="G32" s="88">
        <f>'予定入力シート'!F19-'予定入力シート'!F16</f>
        <v>2400</v>
      </c>
      <c r="H32" s="88">
        <f>'予定入力シート'!G19-'予定入力シート'!G16</f>
        <v>2400</v>
      </c>
      <c r="I32" s="88">
        <f>'予定入力シート'!H19-'予定入力シート'!H16</f>
        <v>2400</v>
      </c>
      <c r="J32" s="88">
        <f>'予定入力シート'!I19-'予定入力シート'!I16</f>
        <v>2400</v>
      </c>
      <c r="K32" s="88">
        <f>'予定入力シート'!J19-'予定入力シート'!J16</f>
        <v>2400</v>
      </c>
      <c r="L32" s="89"/>
      <c r="M32" s="89"/>
      <c r="N32" s="89"/>
      <c r="O32" s="89"/>
      <c r="P32" s="90">
        <f t="shared" ref="P32:P59" si="3">SUM(D32:O32)</f>
        <v>15600</v>
      </c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>
      <c r="A33" s="9"/>
      <c r="B33" s="91"/>
      <c r="C33" s="92" t="s">
        <v>56</v>
      </c>
      <c r="D33" s="93">
        <f>'実績入力シート'!C19-'実績入力シート'!C16</f>
        <v>2000</v>
      </c>
      <c r="E33" s="93">
        <f>'実績入力シート'!D19-'実績入力シート'!D16</f>
        <v>2400</v>
      </c>
      <c r="F33" s="93">
        <f>'実績入力シート'!E19-'実績入力シート'!E16</f>
        <v>2000</v>
      </c>
      <c r="G33" s="93">
        <f>'実績入力シート'!F19-'実績入力シート'!F16</f>
        <v>2400</v>
      </c>
      <c r="H33" s="93">
        <f>'実績入力シート'!G19-'実績入力シート'!G16</f>
        <v>2400</v>
      </c>
      <c r="I33" s="93">
        <f>'実績入力シート'!H19-'実績入力シート'!H16</f>
        <v>2400</v>
      </c>
      <c r="J33" s="93">
        <f>'実績入力シート'!I19-'実績入力シート'!I16</f>
        <v>2400</v>
      </c>
      <c r="K33" s="93">
        <f>'実績入力シート'!J19-'実績入力シート'!J16</f>
        <v>2400</v>
      </c>
      <c r="L33" s="93"/>
      <c r="M33" s="93"/>
      <c r="N33" s="93"/>
      <c r="O33" s="93"/>
      <c r="P33" s="94">
        <f t="shared" si="3"/>
        <v>18400</v>
      </c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>
      <c r="A34" s="9"/>
      <c r="B34" s="91"/>
      <c r="C34" s="87" t="s">
        <v>57</v>
      </c>
      <c r="D34" s="88">
        <f t="shared" ref="D34:K34" si="4">D32*$M$21</f>
        <v>210000</v>
      </c>
      <c r="E34" s="88">
        <f t="shared" si="4"/>
        <v>210000</v>
      </c>
      <c r="F34" s="88">
        <f t="shared" si="4"/>
        <v>210000</v>
      </c>
      <c r="G34" s="88">
        <f t="shared" si="4"/>
        <v>420000</v>
      </c>
      <c r="H34" s="88">
        <f t="shared" si="4"/>
        <v>420000</v>
      </c>
      <c r="I34" s="88">
        <f t="shared" si="4"/>
        <v>420000</v>
      </c>
      <c r="J34" s="88">
        <f t="shared" si="4"/>
        <v>420000</v>
      </c>
      <c r="K34" s="88">
        <f t="shared" si="4"/>
        <v>420000</v>
      </c>
      <c r="L34" s="88"/>
      <c r="M34" s="88"/>
      <c r="N34" s="88"/>
      <c r="O34" s="88"/>
      <c r="P34" s="90">
        <f t="shared" si="3"/>
        <v>2730000</v>
      </c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>
      <c r="A35" s="9"/>
      <c r="B35" s="95"/>
      <c r="C35" s="96" t="s">
        <v>58</v>
      </c>
      <c r="D35" s="97">
        <f t="shared" ref="D35:O35" si="5">D33*$M$21</f>
        <v>350000</v>
      </c>
      <c r="E35" s="97">
        <f t="shared" si="5"/>
        <v>420000</v>
      </c>
      <c r="F35" s="97">
        <f t="shared" si="5"/>
        <v>350000</v>
      </c>
      <c r="G35" s="97">
        <f t="shared" si="5"/>
        <v>420000</v>
      </c>
      <c r="H35" s="97">
        <f t="shared" si="5"/>
        <v>420000</v>
      </c>
      <c r="I35" s="97">
        <f t="shared" si="5"/>
        <v>420000</v>
      </c>
      <c r="J35" s="97">
        <f t="shared" si="5"/>
        <v>420000</v>
      </c>
      <c r="K35" s="97">
        <f t="shared" si="5"/>
        <v>420000</v>
      </c>
      <c r="L35" s="97">
        <f t="shared" si="5"/>
        <v>0</v>
      </c>
      <c r="M35" s="97">
        <f t="shared" si="5"/>
        <v>0</v>
      </c>
      <c r="N35" s="97">
        <f t="shared" si="5"/>
        <v>0</v>
      </c>
      <c r="O35" s="97">
        <f t="shared" si="5"/>
        <v>0</v>
      </c>
      <c r="P35" s="98">
        <f t="shared" si="3"/>
        <v>3220000</v>
      </c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>
      <c r="A36" s="9"/>
      <c r="B36" s="86" t="s">
        <v>59</v>
      </c>
      <c r="C36" s="87" t="s">
        <v>60</v>
      </c>
      <c r="D36" s="88">
        <f>'予定入力シート'!C35</f>
        <v>0</v>
      </c>
      <c r="E36" s="88">
        <f>'予定入力シート'!D35</f>
        <v>0</v>
      </c>
      <c r="F36" s="88">
        <f>'予定入力シート'!E35</f>
        <v>0</v>
      </c>
      <c r="G36" s="88">
        <f>'予定入力シート'!F35</f>
        <v>0</v>
      </c>
      <c r="H36" s="88">
        <f>'予定入力シート'!G35</f>
        <v>0</v>
      </c>
      <c r="I36" s="88">
        <f>'予定入力シート'!H35</f>
        <v>1</v>
      </c>
      <c r="J36" s="88">
        <f>'予定入力シート'!I35</f>
        <v>0</v>
      </c>
      <c r="K36" s="88">
        <f>'予定入力シート'!J35</f>
        <v>2</v>
      </c>
      <c r="L36" s="88"/>
      <c r="M36" s="88"/>
      <c r="N36" s="88"/>
      <c r="O36" s="88"/>
      <c r="P36" s="90">
        <f t="shared" si="3"/>
        <v>3</v>
      </c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>
      <c r="A37" s="9"/>
      <c r="B37" s="91"/>
      <c r="C37" s="92" t="s">
        <v>61</v>
      </c>
      <c r="D37" s="93">
        <f>'実績入力シート'!C35</f>
        <v>0</v>
      </c>
      <c r="E37" s="93">
        <f>'実績入力シート'!D35</f>
        <v>0</v>
      </c>
      <c r="F37" s="93">
        <f>'実績入力シート'!E35</f>
        <v>0</v>
      </c>
      <c r="G37" s="93">
        <f>'実績入力シート'!F35</f>
        <v>0</v>
      </c>
      <c r="H37" s="93">
        <f>'実績入力シート'!G35</f>
        <v>0</v>
      </c>
      <c r="I37" s="93">
        <f>'実績入力シート'!H35</f>
        <v>1</v>
      </c>
      <c r="J37" s="93">
        <f>'実績入力シート'!I35</f>
        <v>0</v>
      </c>
      <c r="K37" s="93">
        <f>'実績入力シート'!J35</f>
        <v>2</v>
      </c>
      <c r="L37" s="93"/>
      <c r="M37" s="93"/>
      <c r="N37" s="93"/>
      <c r="O37" s="93"/>
      <c r="P37" s="94">
        <f t="shared" si="3"/>
        <v>3</v>
      </c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>
      <c r="A38" s="9"/>
      <c r="B38" s="91"/>
      <c r="C38" s="87" t="s">
        <v>57</v>
      </c>
      <c r="D38" s="88">
        <f t="shared" ref="D38:K38" si="6">D36*$M$26</f>
        <v>0</v>
      </c>
      <c r="E38" s="88">
        <f t="shared" si="6"/>
        <v>0</v>
      </c>
      <c r="F38" s="88">
        <f t="shared" si="6"/>
        <v>0</v>
      </c>
      <c r="G38" s="88">
        <f t="shared" si="6"/>
        <v>0</v>
      </c>
      <c r="H38" s="88">
        <f t="shared" si="6"/>
        <v>0</v>
      </c>
      <c r="I38" s="88">
        <f t="shared" si="6"/>
        <v>100000</v>
      </c>
      <c r="J38" s="88">
        <f t="shared" si="6"/>
        <v>0</v>
      </c>
      <c r="K38" s="88">
        <f t="shared" si="6"/>
        <v>200000</v>
      </c>
      <c r="L38" s="88"/>
      <c r="M38" s="88"/>
      <c r="N38" s="88"/>
      <c r="O38" s="88"/>
      <c r="P38" s="90">
        <f t="shared" si="3"/>
        <v>300000</v>
      </c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>
      <c r="A39" s="9"/>
      <c r="B39" s="95"/>
      <c r="C39" s="96" t="s">
        <v>58</v>
      </c>
      <c r="D39" s="97">
        <f t="shared" ref="D39:O39" si="7">D37*$M$26</f>
        <v>0</v>
      </c>
      <c r="E39" s="97">
        <f t="shared" si="7"/>
        <v>0</v>
      </c>
      <c r="F39" s="97">
        <f t="shared" si="7"/>
        <v>0</v>
      </c>
      <c r="G39" s="97">
        <f t="shared" si="7"/>
        <v>0</v>
      </c>
      <c r="H39" s="97">
        <f t="shared" si="7"/>
        <v>0</v>
      </c>
      <c r="I39" s="97">
        <f t="shared" si="7"/>
        <v>100000</v>
      </c>
      <c r="J39" s="97">
        <f t="shared" si="7"/>
        <v>0</v>
      </c>
      <c r="K39" s="97">
        <f t="shared" si="7"/>
        <v>200000</v>
      </c>
      <c r="L39" s="97">
        <f t="shared" si="7"/>
        <v>0</v>
      </c>
      <c r="M39" s="97">
        <f t="shared" si="7"/>
        <v>0</v>
      </c>
      <c r="N39" s="97">
        <f t="shared" si="7"/>
        <v>0</v>
      </c>
      <c r="O39" s="97">
        <f t="shared" si="7"/>
        <v>0</v>
      </c>
      <c r="P39" s="98">
        <f t="shared" si="3"/>
        <v>300000</v>
      </c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hidden="1" customHeight="1">
      <c r="A40" s="9"/>
      <c r="B40" s="99" t="s">
        <v>62</v>
      </c>
      <c r="C40" s="87" t="s">
        <v>63</v>
      </c>
      <c r="D40" s="88" t="str">
        <f>'予定入力シート'!C42</f>
        <v/>
      </c>
      <c r="E40" s="88" t="str">
        <f>'予定入力シート'!D42</f>
        <v/>
      </c>
      <c r="F40" s="88" t="str">
        <f>'予定入力シート'!E42</f>
        <v/>
      </c>
      <c r="G40" s="88" t="str">
        <f>'予定入力シート'!F42</f>
        <v/>
      </c>
      <c r="H40" s="88" t="str">
        <f>'予定入力シート'!G42</f>
        <v/>
      </c>
      <c r="I40" s="88" t="str">
        <f>'予定入力シート'!H42</f>
        <v/>
      </c>
      <c r="J40" s="88" t="str">
        <f>'予定入力シート'!I42</f>
        <v/>
      </c>
      <c r="K40" s="88" t="str">
        <f>'予定入力シート'!J42</f>
        <v/>
      </c>
      <c r="L40" s="88" t="str">
        <f>'予定入力シート'!K42</f>
        <v/>
      </c>
      <c r="M40" s="88" t="str">
        <f>'予定入力シート'!L42</f>
        <v/>
      </c>
      <c r="N40" s="88" t="str">
        <f>'予定入力シート'!M42</f>
        <v/>
      </c>
      <c r="O40" s="88" t="str">
        <f>'予定入力シート'!N42</f>
        <v/>
      </c>
      <c r="P40" s="90">
        <f t="shared" si="3"/>
        <v>0</v>
      </c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hidden="1" customHeight="1">
      <c r="A41" s="9"/>
      <c r="B41" s="91"/>
      <c r="C41" s="92" t="s">
        <v>64</v>
      </c>
      <c r="D41" s="93" t="str">
        <f>'実績入力シート'!C42</f>
        <v/>
      </c>
      <c r="E41" s="93" t="str">
        <f>'実績入力シート'!D42</f>
        <v/>
      </c>
      <c r="F41" s="93" t="str">
        <f>'実績入力シート'!E42</f>
        <v/>
      </c>
      <c r="G41" s="93" t="str">
        <f>'実績入力シート'!F42</f>
        <v/>
      </c>
      <c r="H41" s="93" t="str">
        <f>'実績入力シート'!G42</f>
        <v/>
      </c>
      <c r="I41" s="93" t="str">
        <f>'実績入力シート'!H42</f>
        <v/>
      </c>
      <c r="J41" s="93" t="str">
        <f>'実績入力シート'!I42</f>
        <v/>
      </c>
      <c r="K41" s="93" t="str">
        <f>'実績入力シート'!J42</f>
        <v/>
      </c>
      <c r="L41" s="93" t="str">
        <f>'実績入力シート'!K42</f>
        <v/>
      </c>
      <c r="M41" s="93" t="str">
        <f>'実績入力シート'!L42</f>
        <v/>
      </c>
      <c r="N41" s="93" t="str">
        <f>'実績入力シート'!M42</f>
        <v/>
      </c>
      <c r="O41" s="93" t="str">
        <f>'実績入力シート'!N42</f>
        <v/>
      </c>
      <c r="P41" s="94">
        <f t="shared" si="3"/>
        <v>0</v>
      </c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hidden="1" customHeight="1">
      <c r="A42" s="9"/>
      <c r="B42" s="91"/>
      <c r="C42" s="87" t="s">
        <v>57</v>
      </c>
      <c r="D42" s="88">
        <f t="shared" ref="D42:O42" si="8">D40*$M$22</f>
        <v>0</v>
      </c>
      <c r="E42" s="88">
        <f t="shared" si="8"/>
        <v>0</v>
      </c>
      <c r="F42" s="88">
        <f t="shared" si="8"/>
        <v>0</v>
      </c>
      <c r="G42" s="88">
        <f t="shared" si="8"/>
        <v>0</v>
      </c>
      <c r="H42" s="88">
        <f t="shared" si="8"/>
        <v>0</v>
      </c>
      <c r="I42" s="88">
        <f t="shared" si="8"/>
        <v>0</v>
      </c>
      <c r="J42" s="88">
        <f t="shared" si="8"/>
        <v>0</v>
      </c>
      <c r="K42" s="88">
        <f t="shared" si="8"/>
        <v>0</v>
      </c>
      <c r="L42" s="88">
        <f t="shared" si="8"/>
        <v>0</v>
      </c>
      <c r="M42" s="88">
        <f t="shared" si="8"/>
        <v>0</v>
      </c>
      <c r="N42" s="88">
        <f t="shared" si="8"/>
        <v>0</v>
      </c>
      <c r="O42" s="88">
        <f t="shared" si="8"/>
        <v>0</v>
      </c>
      <c r="P42" s="90">
        <f t="shared" si="3"/>
        <v>0</v>
      </c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hidden="1" customHeight="1">
      <c r="A43" s="9"/>
      <c r="B43" s="95"/>
      <c r="C43" s="96" t="s">
        <v>58</v>
      </c>
      <c r="D43" s="97">
        <f t="shared" ref="D43:O43" si="9">D41*$M$22</f>
        <v>0</v>
      </c>
      <c r="E43" s="97">
        <f t="shared" si="9"/>
        <v>0</v>
      </c>
      <c r="F43" s="97">
        <f t="shared" si="9"/>
        <v>0</v>
      </c>
      <c r="G43" s="97">
        <f t="shared" si="9"/>
        <v>0</v>
      </c>
      <c r="H43" s="97">
        <f t="shared" si="9"/>
        <v>0</v>
      </c>
      <c r="I43" s="97">
        <f t="shared" si="9"/>
        <v>0</v>
      </c>
      <c r="J43" s="97">
        <f t="shared" si="9"/>
        <v>0</v>
      </c>
      <c r="K43" s="97">
        <f t="shared" si="9"/>
        <v>0</v>
      </c>
      <c r="L43" s="97">
        <f t="shared" si="9"/>
        <v>0</v>
      </c>
      <c r="M43" s="97">
        <f t="shared" si="9"/>
        <v>0</v>
      </c>
      <c r="N43" s="97">
        <f t="shared" si="9"/>
        <v>0</v>
      </c>
      <c r="O43" s="97">
        <f t="shared" si="9"/>
        <v>0</v>
      </c>
      <c r="P43" s="98">
        <f t="shared" si="3"/>
        <v>0</v>
      </c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hidden="1" customHeight="1">
      <c r="A44" s="9"/>
      <c r="B44" s="99" t="s">
        <v>65</v>
      </c>
      <c r="C44" s="87" t="s">
        <v>63</v>
      </c>
      <c r="D44" s="88" t="str">
        <f>'予定入力シート'!C43</f>
        <v/>
      </c>
      <c r="E44" s="88" t="str">
        <f>'予定入力シート'!D43</f>
        <v/>
      </c>
      <c r="F44" s="88" t="str">
        <f>'予定入力シート'!E43</f>
        <v/>
      </c>
      <c r="G44" s="88" t="str">
        <f>'予定入力シート'!F43</f>
        <v/>
      </c>
      <c r="H44" s="88" t="str">
        <f>'予定入力シート'!G43</f>
        <v/>
      </c>
      <c r="I44" s="88" t="str">
        <f>'予定入力シート'!H43</f>
        <v/>
      </c>
      <c r="J44" s="88" t="str">
        <f>'予定入力シート'!I43</f>
        <v/>
      </c>
      <c r="K44" s="88" t="str">
        <f>'予定入力シート'!J43</f>
        <v/>
      </c>
      <c r="L44" s="88" t="str">
        <f>'予定入力シート'!K43</f>
        <v/>
      </c>
      <c r="M44" s="88" t="str">
        <f>'予定入力シート'!L43</f>
        <v/>
      </c>
      <c r="N44" s="88" t="str">
        <f>'予定入力シート'!M43</f>
        <v/>
      </c>
      <c r="O44" s="88" t="str">
        <f>'予定入力シート'!N43</f>
        <v/>
      </c>
      <c r="P44" s="90">
        <f t="shared" si="3"/>
        <v>0</v>
      </c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hidden="1" customHeight="1">
      <c r="A45" s="9"/>
      <c r="B45" s="91"/>
      <c r="C45" s="92" t="s">
        <v>64</v>
      </c>
      <c r="D45" s="93" t="str">
        <f>'実績入力シート'!C43</f>
        <v/>
      </c>
      <c r="E45" s="93" t="str">
        <f>'実績入力シート'!D43</f>
        <v/>
      </c>
      <c r="F45" s="93" t="str">
        <f>'実績入力シート'!E43</f>
        <v/>
      </c>
      <c r="G45" s="93" t="str">
        <f>'実績入力シート'!F43</f>
        <v/>
      </c>
      <c r="H45" s="93" t="str">
        <f>'実績入力シート'!G43</f>
        <v/>
      </c>
      <c r="I45" s="93" t="str">
        <f>'実績入力シート'!H43</f>
        <v/>
      </c>
      <c r="J45" s="93" t="str">
        <f>'実績入力シート'!I43</f>
        <v/>
      </c>
      <c r="K45" s="93" t="str">
        <f>'実績入力シート'!J43</f>
        <v/>
      </c>
      <c r="L45" s="93" t="str">
        <f>'実績入力シート'!K43</f>
        <v/>
      </c>
      <c r="M45" s="93" t="str">
        <f>'実績入力シート'!L43</f>
        <v/>
      </c>
      <c r="N45" s="93" t="str">
        <f>'実績入力シート'!M43</f>
        <v/>
      </c>
      <c r="O45" s="93" t="str">
        <f>'実績入力シート'!N43</f>
        <v/>
      </c>
      <c r="P45" s="94">
        <f t="shared" si="3"/>
        <v>0</v>
      </c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hidden="1" customHeight="1">
      <c r="A46" s="9"/>
      <c r="B46" s="91"/>
      <c r="C46" s="87" t="s">
        <v>57</v>
      </c>
      <c r="D46" s="88">
        <f t="shared" ref="D46:O46" si="10">D44*$M$23</f>
        <v>0</v>
      </c>
      <c r="E46" s="88">
        <f t="shared" si="10"/>
        <v>0</v>
      </c>
      <c r="F46" s="88">
        <f t="shared" si="10"/>
        <v>0</v>
      </c>
      <c r="G46" s="88">
        <f t="shared" si="10"/>
        <v>0</v>
      </c>
      <c r="H46" s="88">
        <f t="shared" si="10"/>
        <v>0</v>
      </c>
      <c r="I46" s="88">
        <f t="shared" si="10"/>
        <v>0</v>
      </c>
      <c r="J46" s="88">
        <f t="shared" si="10"/>
        <v>0</v>
      </c>
      <c r="K46" s="88">
        <f t="shared" si="10"/>
        <v>0</v>
      </c>
      <c r="L46" s="88">
        <f t="shared" si="10"/>
        <v>0</v>
      </c>
      <c r="M46" s="88">
        <f t="shared" si="10"/>
        <v>0</v>
      </c>
      <c r="N46" s="88">
        <f t="shared" si="10"/>
        <v>0</v>
      </c>
      <c r="O46" s="88">
        <f t="shared" si="10"/>
        <v>0</v>
      </c>
      <c r="P46" s="90">
        <f t="shared" si="3"/>
        <v>0</v>
      </c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hidden="1" customHeight="1">
      <c r="A47" s="9"/>
      <c r="B47" s="95"/>
      <c r="C47" s="96" t="s">
        <v>58</v>
      </c>
      <c r="D47" s="97">
        <f t="shared" ref="D47:O47" si="11">D45*$M$23</f>
        <v>0</v>
      </c>
      <c r="E47" s="97">
        <f t="shared" si="11"/>
        <v>0</v>
      </c>
      <c r="F47" s="97">
        <f t="shared" si="11"/>
        <v>0</v>
      </c>
      <c r="G47" s="97">
        <f t="shared" si="11"/>
        <v>0</v>
      </c>
      <c r="H47" s="97">
        <f t="shared" si="11"/>
        <v>0</v>
      </c>
      <c r="I47" s="97">
        <f t="shared" si="11"/>
        <v>0</v>
      </c>
      <c r="J47" s="97">
        <f t="shared" si="11"/>
        <v>0</v>
      </c>
      <c r="K47" s="97">
        <f t="shared" si="11"/>
        <v>0</v>
      </c>
      <c r="L47" s="97">
        <f t="shared" si="11"/>
        <v>0</v>
      </c>
      <c r="M47" s="97">
        <f t="shared" si="11"/>
        <v>0</v>
      </c>
      <c r="N47" s="97">
        <f t="shared" si="11"/>
        <v>0</v>
      </c>
      <c r="O47" s="97">
        <f t="shared" si="11"/>
        <v>0</v>
      </c>
      <c r="P47" s="98">
        <f t="shared" si="3"/>
        <v>0</v>
      </c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hidden="1" customHeight="1">
      <c r="A48" s="9"/>
      <c r="B48" s="99" t="s">
        <v>66</v>
      </c>
      <c r="C48" s="87" t="s">
        <v>63</v>
      </c>
      <c r="D48" s="88" t="str">
        <f>'予定入力シート'!C44</f>
        <v/>
      </c>
      <c r="E48" s="88" t="str">
        <f>'予定入力シート'!D44</f>
        <v/>
      </c>
      <c r="F48" s="88" t="str">
        <f>'予定入力シート'!E44</f>
        <v/>
      </c>
      <c r="G48" s="88" t="str">
        <f>'予定入力シート'!F44</f>
        <v/>
      </c>
      <c r="H48" s="88" t="str">
        <f>'予定入力シート'!G44</f>
        <v/>
      </c>
      <c r="I48" s="88" t="str">
        <f>'予定入力シート'!H44</f>
        <v/>
      </c>
      <c r="J48" s="88" t="str">
        <f>'予定入力シート'!I44</f>
        <v/>
      </c>
      <c r="K48" s="88" t="str">
        <f>'予定入力シート'!J44</f>
        <v/>
      </c>
      <c r="L48" s="88" t="str">
        <f>'予定入力シート'!K44</f>
        <v/>
      </c>
      <c r="M48" s="88" t="str">
        <f>'予定入力シート'!L44</f>
        <v/>
      </c>
      <c r="N48" s="88" t="str">
        <f>'予定入力シート'!M44</f>
        <v/>
      </c>
      <c r="O48" s="88" t="str">
        <f>'予定入力シート'!N44</f>
        <v/>
      </c>
      <c r="P48" s="90">
        <f t="shared" si="3"/>
        <v>0</v>
      </c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hidden="1" customHeight="1">
      <c r="A49" s="9"/>
      <c r="B49" s="91"/>
      <c r="C49" s="92" t="s">
        <v>64</v>
      </c>
      <c r="D49" s="93" t="str">
        <f>'実績入力シート'!C44</f>
        <v/>
      </c>
      <c r="E49" s="93" t="str">
        <f>'実績入力シート'!D44</f>
        <v/>
      </c>
      <c r="F49" s="93" t="str">
        <f>'実績入力シート'!E44</f>
        <v/>
      </c>
      <c r="G49" s="93" t="str">
        <f>'実績入力シート'!F44</f>
        <v/>
      </c>
      <c r="H49" s="93" t="str">
        <f>'実績入力シート'!G44</f>
        <v/>
      </c>
      <c r="I49" s="93" t="str">
        <f>'実績入力シート'!H44</f>
        <v/>
      </c>
      <c r="J49" s="93" t="str">
        <f>'実績入力シート'!I44</f>
        <v/>
      </c>
      <c r="K49" s="93" t="str">
        <f>'実績入力シート'!J44</f>
        <v/>
      </c>
      <c r="L49" s="93" t="str">
        <f>'実績入力シート'!K44</f>
        <v/>
      </c>
      <c r="M49" s="93" t="str">
        <f>'実績入力シート'!L44</f>
        <v/>
      </c>
      <c r="N49" s="93" t="str">
        <f>'実績入力シート'!M44</f>
        <v/>
      </c>
      <c r="O49" s="93" t="str">
        <f>'実績入力シート'!N44</f>
        <v/>
      </c>
      <c r="P49" s="94">
        <f t="shared" si="3"/>
        <v>0</v>
      </c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hidden="1" customHeight="1">
      <c r="A50" s="9"/>
      <c r="B50" s="91"/>
      <c r="C50" s="87" t="s">
        <v>57</v>
      </c>
      <c r="D50" s="88">
        <f t="shared" ref="D50:O50" si="12">D48*$M$24</f>
        <v>0</v>
      </c>
      <c r="E50" s="88">
        <f t="shared" si="12"/>
        <v>0</v>
      </c>
      <c r="F50" s="88">
        <f t="shared" si="12"/>
        <v>0</v>
      </c>
      <c r="G50" s="88">
        <f t="shared" si="12"/>
        <v>0</v>
      </c>
      <c r="H50" s="88">
        <f t="shared" si="12"/>
        <v>0</v>
      </c>
      <c r="I50" s="88">
        <f t="shared" si="12"/>
        <v>0</v>
      </c>
      <c r="J50" s="88">
        <f t="shared" si="12"/>
        <v>0</v>
      </c>
      <c r="K50" s="88">
        <f t="shared" si="12"/>
        <v>0</v>
      </c>
      <c r="L50" s="88">
        <f t="shared" si="12"/>
        <v>0</v>
      </c>
      <c r="M50" s="88">
        <f t="shared" si="12"/>
        <v>0</v>
      </c>
      <c r="N50" s="88">
        <f t="shared" si="12"/>
        <v>0</v>
      </c>
      <c r="O50" s="88">
        <f t="shared" si="12"/>
        <v>0</v>
      </c>
      <c r="P50" s="90">
        <f t="shared" si="3"/>
        <v>0</v>
      </c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hidden="1" customHeight="1">
      <c r="A51" s="9"/>
      <c r="B51" s="95"/>
      <c r="C51" s="96" t="s">
        <v>58</v>
      </c>
      <c r="D51" s="97">
        <f t="shared" ref="D51:O51" si="13">D49*$M$24</f>
        <v>0</v>
      </c>
      <c r="E51" s="97">
        <f t="shared" si="13"/>
        <v>0</v>
      </c>
      <c r="F51" s="97">
        <f t="shared" si="13"/>
        <v>0</v>
      </c>
      <c r="G51" s="97">
        <f t="shared" si="13"/>
        <v>0</v>
      </c>
      <c r="H51" s="97">
        <f t="shared" si="13"/>
        <v>0</v>
      </c>
      <c r="I51" s="97">
        <f t="shared" si="13"/>
        <v>0</v>
      </c>
      <c r="J51" s="97">
        <f t="shared" si="13"/>
        <v>0</v>
      </c>
      <c r="K51" s="97">
        <f t="shared" si="13"/>
        <v>0</v>
      </c>
      <c r="L51" s="97">
        <f t="shared" si="13"/>
        <v>0</v>
      </c>
      <c r="M51" s="97">
        <f t="shared" si="13"/>
        <v>0</v>
      </c>
      <c r="N51" s="97">
        <f t="shared" si="13"/>
        <v>0</v>
      </c>
      <c r="O51" s="97">
        <f t="shared" si="13"/>
        <v>0</v>
      </c>
      <c r="P51" s="98">
        <f t="shared" si="3"/>
        <v>0</v>
      </c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9"/>
      <c r="B52" s="99" t="s">
        <v>67</v>
      </c>
      <c r="C52" s="87" t="s">
        <v>68</v>
      </c>
      <c r="D52" s="88" t="str">
        <f>'予定入力シート'!C16</f>
        <v/>
      </c>
      <c r="E52" s="88" t="str">
        <f>'予定入力シート'!D16</f>
        <v/>
      </c>
      <c r="F52" s="88" t="str">
        <f>'予定入力シート'!E16</f>
        <v/>
      </c>
      <c r="G52" s="88" t="str">
        <f>'予定入力シート'!F16</f>
        <v/>
      </c>
      <c r="H52" s="88" t="str">
        <f>'予定入力シート'!G16</f>
        <v/>
      </c>
      <c r="I52" s="88" t="str">
        <f>'予定入力シート'!H16</f>
        <v/>
      </c>
      <c r="J52" s="88" t="str">
        <f>'予定入力シート'!I16</f>
        <v/>
      </c>
      <c r="K52" s="88" t="str">
        <f>'予定入力シート'!J16</f>
        <v/>
      </c>
      <c r="L52" s="88" t="str">
        <f>'予定入力シート'!K16</f>
        <v/>
      </c>
      <c r="M52" s="88" t="str">
        <f>'予定入力シート'!L16</f>
        <v/>
      </c>
      <c r="N52" s="88" t="str">
        <f>'予定入力シート'!M16</f>
        <v/>
      </c>
      <c r="O52" s="88" t="str">
        <f>'予定入力シート'!N16</f>
        <v/>
      </c>
      <c r="P52" s="90">
        <f t="shared" si="3"/>
        <v>0</v>
      </c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9"/>
      <c r="B53" s="91"/>
      <c r="C53" s="92" t="s">
        <v>69</v>
      </c>
      <c r="D53" s="93" t="str">
        <f>'実績入力シート'!C16</f>
        <v/>
      </c>
      <c r="E53" s="93" t="str">
        <f>'実績入力シート'!D16</f>
        <v/>
      </c>
      <c r="F53" s="93" t="str">
        <f>'実績入力シート'!E16</f>
        <v/>
      </c>
      <c r="G53" s="93" t="str">
        <f>'実績入力シート'!F16</f>
        <v/>
      </c>
      <c r="H53" s="93" t="str">
        <f>'実績入力シート'!G16</f>
        <v/>
      </c>
      <c r="I53" s="93" t="str">
        <f>'実績入力シート'!H16</f>
        <v/>
      </c>
      <c r="J53" s="93" t="str">
        <f>'実績入力シート'!I16</f>
        <v/>
      </c>
      <c r="K53" s="93" t="str">
        <f>'実績入力シート'!J16</f>
        <v/>
      </c>
      <c r="L53" s="93" t="str">
        <f>'実績入力シート'!K16</f>
        <v/>
      </c>
      <c r="M53" s="93" t="str">
        <f>'実績入力シート'!L16</f>
        <v/>
      </c>
      <c r="N53" s="93" t="str">
        <f>'実績入力シート'!M16</f>
        <v/>
      </c>
      <c r="O53" s="93" t="str">
        <f>'実績入力シート'!N16</f>
        <v/>
      </c>
      <c r="P53" s="94">
        <f t="shared" si="3"/>
        <v>0</v>
      </c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9"/>
      <c r="B54" s="91"/>
      <c r="C54" s="87" t="s">
        <v>57</v>
      </c>
      <c r="D54" s="88">
        <f t="shared" ref="D54:O54" si="14">D52*$M$25</f>
        <v>0</v>
      </c>
      <c r="E54" s="88">
        <f t="shared" si="14"/>
        <v>0</v>
      </c>
      <c r="F54" s="88">
        <f t="shared" si="14"/>
        <v>0</v>
      </c>
      <c r="G54" s="88">
        <f t="shared" si="14"/>
        <v>0</v>
      </c>
      <c r="H54" s="88">
        <f t="shared" si="14"/>
        <v>0</v>
      </c>
      <c r="I54" s="88">
        <f t="shared" si="14"/>
        <v>0</v>
      </c>
      <c r="J54" s="88">
        <f t="shared" si="14"/>
        <v>0</v>
      </c>
      <c r="K54" s="88">
        <f t="shared" si="14"/>
        <v>0</v>
      </c>
      <c r="L54" s="88">
        <f t="shared" si="14"/>
        <v>0</v>
      </c>
      <c r="M54" s="88">
        <f t="shared" si="14"/>
        <v>0</v>
      </c>
      <c r="N54" s="88">
        <f t="shared" si="14"/>
        <v>0</v>
      </c>
      <c r="O54" s="88">
        <f t="shared" si="14"/>
        <v>0</v>
      </c>
      <c r="P54" s="90">
        <f t="shared" si="3"/>
        <v>0</v>
      </c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9"/>
      <c r="B55" s="95"/>
      <c r="C55" s="96" t="s">
        <v>58</v>
      </c>
      <c r="D55" s="97">
        <f t="shared" ref="D55:O55" si="15">D53*$M$25</f>
        <v>0</v>
      </c>
      <c r="E55" s="97">
        <f t="shared" si="15"/>
        <v>0</v>
      </c>
      <c r="F55" s="97">
        <f t="shared" si="15"/>
        <v>0</v>
      </c>
      <c r="G55" s="97">
        <f t="shared" si="15"/>
        <v>0</v>
      </c>
      <c r="H55" s="97">
        <f t="shared" si="15"/>
        <v>0</v>
      </c>
      <c r="I55" s="97">
        <f t="shared" si="15"/>
        <v>0</v>
      </c>
      <c r="J55" s="97">
        <f t="shared" si="15"/>
        <v>0</v>
      </c>
      <c r="K55" s="97">
        <f t="shared" si="15"/>
        <v>0</v>
      </c>
      <c r="L55" s="97">
        <f t="shared" si="15"/>
        <v>0</v>
      </c>
      <c r="M55" s="97">
        <f t="shared" si="15"/>
        <v>0</v>
      </c>
      <c r="N55" s="97">
        <f t="shared" si="15"/>
        <v>0</v>
      </c>
      <c r="O55" s="97">
        <f t="shared" si="15"/>
        <v>0</v>
      </c>
      <c r="P55" s="98">
        <f t="shared" si="3"/>
        <v>0</v>
      </c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9"/>
      <c r="B56" s="100" t="s">
        <v>70</v>
      </c>
      <c r="C56" s="101" t="s">
        <v>2</v>
      </c>
      <c r="D56" s="102">
        <f>SUMIF($C32:$O55,"予定費用",D32:D55)+E27</f>
        <v>750000</v>
      </c>
      <c r="E56" s="102">
        <f t="shared" ref="E56:O56" si="16">SUMIF($C32:$O55,"予定費用",E32:E55)</f>
        <v>210000</v>
      </c>
      <c r="F56" s="102">
        <f t="shared" si="16"/>
        <v>210000</v>
      </c>
      <c r="G56" s="102">
        <f t="shared" si="16"/>
        <v>420000</v>
      </c>
      <c r="H56" s="102">
        <f t="shared" si="16"/>
        <v>420000</v>
      </c>
      <c r="I56" s="102">
        <f t="shared" si="16"/>
        <v>520000</v>
      </c>
      <c r="J56" s="102">
        <f t="shared" si="16"/>
        <v>420000</v>
      </c>
      <c r="K56" s="102">
        <f t="shared" si="16"/>
        <v>620000</v>
      </c>
      <c r="L56" s="102">
        <f t="shared" si="16"/>
        <v>0</v>
      </c>
      <c r="M56" s="102">
        <f t="shared" si="16"/>
        <v>0</v>
      </c>
      <c r="N56" s="102">
        <f t="shared" si="16"/>
        <v>0</v>
      </c>
      <c r="O56" s="102">
        <f t="shared" si="16"/>
        <v>0</v>
      </c>
      <c r="P56" s="103">
        <f t="shared" si="3"/>
        <v>3570000</v>
      </c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9"/>
      <c r="B57" s="95"/>
      <c r="C57" s="104" t="s">
        <v>3</v>
      </c>
      <c r="D57" s="105">
        <f>SUMIF($C32:$O55,"実績費用",D32:D55)+G27</f>
        <v>890000</v>
      </c>
      <c r="E57" s="105">
        <f t="shared" ref="E57:O57" si="17">SUMIF($C32:$O55,"実績費用",E32:E55)</f>
        <v>420000</v>
      </c>
      <c r="F57" s="105">
        <f t="shared" si="17"/>
        <v>350000</v>
      </c>
      <c r="G57" s="105">
        <f t="shared" si="17"/>
        <v>420000</v>
      </c>
      <c r="H57" s="105">
        <f t="shared" si="17"/>
        <v>420000</v>
      </c>
      <c r="I57" s="105">
        <f t="shared" si="17"/>
        <v>520000</v>
      </c>
      <c r="J57" s="105">
        <f t="shared" si="17"/>
        <v>420000</v>
      </c>
      <c r="K57" s="105">
        <f t="shared" si="17"/>
        <v>620000</v>
      </c>
      <c r="L57" s="105">
        <f t="shared" si="17"/>
        <v>0</v>
      </c>
      <c r="M57" s="105">
        <f t="shared" si="17"/>
        <v>0</v>
      </c>
      <c r="N57" s="105">
        <f t="shared" si="17"/>
        <v>0</v>
      </c>
      <c r="O57" s="105">
        <f t="shared" si="17"/>
        <v>0</v>
      </c>
      <c r="P57" s="106">
        <f t="shared" si="3"/>
        <v>4060000</v>
      </c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9"/>
      <c r="B58" s="107" t="s">
        <v>71</v>
      </c>
      <c r="C58" s="108" t="s">
        <v>2</v>
      </c>
      <c r="D58" s="109">
        <f t="shared" ref="D58:D59" si="19">D56</f>
        <v>750000</v>
      </c>
      <c r="E58" s="109">
        <f t="shared" ref="E58:O58" si="18">D58+E56</f>
        <v>960000</v>
      </c>
      <c r="F58" s="109">
        <f t="shared" si="18"/>
        <v>1170000</v>
      </c>
      <c r="G58" s="109">
        <f t="shared" si="18"/>
        <v>1590000</v>
      </c>
      <c r="H58" s="109">
        <f t="shared" si="18"/>
        <v>2010000</v>
      </c>
      <c r="I58" s="109">
        <f t="shared" si="18"/>
        <v>2530000</v>
      </c>
      <c r="J58" s="109">
        <f t="shared" si="18"/>
        <v>2950000</v>
      </c>
      <c r="K58" s="109">
        <f t="shared" si="18"/>
        <v>3570000</v>
      </c>
      <c r="L58" s="109">
        <f t="shared" si="18"/>
        <v>3570000</v>
      </c>
      <c r="M58" s="109">
        <f t="shared" si="18"/>
        <v>3570000</v>
      </c>
      <c r="N58" s="109">
        <f t="shared" si="18"/>
        <v>3570000</v>
      </c>
      <c r="O58" s="109">
        <f t="shared" si="18"/>
        <v>3570000</v>
      </c>
      <c r="P58" s="110">
        <f t="shared" si="3"/>
        <v>29810000</v>
      </c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9"/>
      <c r="B59" s="95"/>
      <c r="C59" s="104" t="s">
        <v>3</v>
      </c>
      <c r="D59" s="105">
        <f t="shared" si="19"/>
        <v>890000</v>
      </c>
      <c r="E59" s="105">
        <f t="shared" ref="E59:O59" si="20">D59+E57</f>
        <v>1310000</v>
      </c>
      <c r="F59" s="105">
        <f t="shared" si="20"/>
        <v>1660000</v>
      </c>
      <c r="G59" s="105">
        <f t="shared" si="20"/>
        <v>2080000</v>
      </c>
      <c r="H59" s="105">
        <f t="shared" si="20"/>
        <v>2500000</v>
      </c>
      <c r="I59" s="105">
        <f t="shared" si="20"/>
        <v>3020000</v>
      </c>
      <c r="J59" s="105">
        <f t="shared" si="20"/>
        <v>3440000</v>
      </c>
      <c r="K59" s="105">
        <f t="shared" si="20"/>
        <v>4060000</v>
      </c>
      <c r="L59" s="105">
        <f t="shared" si="20"/>
        <v>4060000</v>
      </c>
      <c r="M59" s="105">
        <f t="shared" si="20"/>
        <v>4060000</v>
      </c>
      <c r="N59" s="105">
        <f t="shared" si="20"/>
        <v>4060000</v>
      </c>
      <c r="O59" s="105">
        <f t="shared" si="20"/>
        <v>4060000</v>
      </c>
      <c r="P59" s="98">
        <f t="shared" si="3"/>
        <v>35200000</v>
      </c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9"/>
      <c r="B60" s="107" t="s">
        <v>18</v>
      </c>
      <c r="C60" s="111" t="s">
        <v>2</v>
      </c>
      <c r="D60" s="112">
        <f t="shared" ref="D60:P60" si="21">IF($C$8&gt;0,(($C$8*1000)-D58)/($C$8*1000),0)</f>
        <v>0.9166666667</v>
      </c>
      <c r="E60" s="112">
        <f t="shared" si="21"/>
        <v>0.8933333333</v>
      </c>
      <c r="F60" s="112">
        <f t="shared" si="21"/>
        <v>0.87</v>
      </c>
      <c r="G60" s="112">
        <f t="shared" si="21"/>
        <v>0.8233333333</v>
      </c>
      <c r="H60" s="112">
        <f t="shared" si="21"/>
        <v>0.7766666667</v>
      </c>
      <c r="I60" s="112">
        <f t="shared" si="21"/>
        <v>0.7188888889</v>
      </c>
      <c r="J60" s="112">
        <f t="shared" si="21"/>
        <v>0.6722222222</v>
      </c>
      <c r="K60" s="112">
        <f t="shared" si="21"/>
        <v>0.6033333333</v>
      </c>
      <c r="L60" s="112">
        <f t="shared" si="21"/>
        <v>0.6033333333</v>
      </c>
      <c r="M60" s="112">
        <f t="shared" si="21"/>
        <v>0.6033333333</v>
      </c>
      <c r="N60" s="112">
        <f t="shared" si="21"/>
        <v>0.6033333333</v>
      </c>
      <c r="O60" s="112">
        <f t="shared" si="21"/>
        <v>0.6033333333</v>
      </c>
      <c r="P60" s="113">
        <f t="shared" si="21"/>
        <v>-2.312222222</v>
      </c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9"/>
      <c r="B61" s="114"/>
      <c r="C61" s="115" t="s">
        <v>3</v>
      </c>
      <c r="D61" s="116">
        <f t="shared" ref="D61:P61" si="22">IF($D$8&gt;0,(($D$8*1000)-D59)/($D$8*1000),0)</f>
        <v>0.9011111111</v>
      </c>
      <c r="E61" s="116">
        <f t="shared" si="22"/>
        <v>0.8544444444</v>
      </c>
      <c r="F61" s="116">
        <f t="shared" si="22"/>
        <v>0.8155555556</v>
      </c>
      <c r="G61" s="116">
        <f t="shared" si="22"/>
        <v>0.7688888889</v>
      </c>
      <c r="H61" s="116">
        <f t="shared" si="22"/>
        <v>0.7222222222</v>
      </c>
      <c r="I61" s="116">
        <f t="shared" si="22"/>
        <v>0.6644444444</v>
      </c>
      <c r="J61" s="116">
        <f t="shared" si="22"/>
        <v>0.6177777778</v>
      </c>
      <c r="K61" s="116">
        <f t="shared" si="22"/>
        <v>0.5488888889</v>
      </c>
      <c r="L61" s="116">
        <f t="shared" si="22"/>
        <v>0.5488888889</v>
      </c>
      <c r="M61" s="116">
        <f t="shared" si="22"/>
        <v>0.5488888889</v>
      </c>
      <c r="N61" s="116">
        <f t="shared" si="22"/>
        <v>0.5488888889</v>
      </c>
      <c r="O61" s="116">
        <f t="shared" si="22"/>
        <v>0.5488888889</v>
      </c>
      <c r="P61" s="117">
        <f t="shared" si="22"/>
        <v>-2.911111111</v>
      </c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4.25" customHeight="1">
      <c r="A62" s="9"/>
      <c r="B62" s="2" t="str">
        <f>IF(D31&lt;&gt;"","※ＰＣレンタル費用は、演習1回目("&amp;MONTH(D31)&amp;"/"&amp;DAY(D31)&amp;")に計上しています。","")</f>
        <v>※ＰＣレンタル費用は、演習1回目(9/26)に計上しています。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4.25" customHeight="1">
      <c r="A63" s="9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4.25" customHeight="1">
      <c r="A64" s="9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4.25" customHeight="1">
      <c r="A65" s="9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4.25" customHeight="1">
      <c r="A66" s="9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4.25" customHeight="1">
      <c r="A67" s="9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4.25" customHeight="1">
      <c r="A68" s="9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4.25" customHeight="1">
      <c r="A69" s="9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4.25" customHeight="1">
      <c r="A70" s="9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4.25" customHeight="1">
      <c r="A71" s="9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4.25" customHeight="1">
      <c r="A72" s="9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4.25" customHeight="1">
      <c r="A73" s="9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4.25" customHeight="1">
      <c r="A74" s="9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4.25" customHeight="1">
      <c r="A75" s="9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4.25" customHeight="1">
      <c r="A76" s="9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4.25" customHeight="1">
      <c r="A77" s="9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4.25" customHeight="1">
      <c r="A78" s="9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4.25" customHeight="1">
      <c r="A79" s="9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4.25" customHeight="1">
      <c r="A80" s="9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4.25" customHeight="1">
      <c r="A81" s="9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4.25" customHeight="1">
      <c r="A82" s="9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4.25" customHeight="1">
      <c r="A83" s="9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4.25" customHeight="1">
      <c r="A84" s="9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4.25" customHeight="1">
      <c r="A85" s="9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4.25" customHeight="1">
      <c r="A86" s="9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4.25" customHeight="1">
      <c r="A87" s="9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4.25" customHeight="1">
      <c r="A88" s="9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4.25" customHeight="1">
      <c r="A89" s="9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4.25" customHeight="1">
      <c r="A90" s="9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4.25" customHeight="1">
      <c r="A91" s="9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4.25" customHeight="1">
      <c r="A92" s="9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4.25" customHeight="1">
      <c r="A93" s="9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4.25" customHeight="1">
      <c r="A94" s="9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4.25" customHeight="1">
      <c r="A95" s="9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4.25" customHeight="1">
      <c r="A96" s="9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4.25" customHeight="1">
      <c r="A97" s="9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4.25" customHeight="1">
      <c r="A98" s="9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4.25" customHeight="1">
      <c r="A99" s="9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4.25" customHeight="1">
      <c r="A100" s="9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4.25" customHeight="1">
      <c r="A101" s="9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4.25" customHeight="1">
      <c r="A102" s="9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4.25" customHeight="1">
      <c r="A103" s="9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4.25" customHeight="1">
      <c r="A104" s="9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4.25" customHeight="1">
      <c r="A105" s="9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4.25" customHeight="1">
      <c r="A106" s="9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4.25" customHeight="1">
      <c r="A107" s="9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4.25" customHeight="1">
      <c r="A108" s="9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4.25" customHeight="1">
      <c r="A109" s="9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4.25" customHeight="1">
      <c r="A110" s="9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4.25" customHeight="1">
      <c r="A111" s="9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4.25" customHeight="1">
      <c r="A112" s="9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4.25" customHeight="1">
      <c r="A113" s="9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4.25" customHeight="1">
      <c r="A114" s="9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4.25" customHeight="1">
      <c r="A115" s="9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4.25" customHeight="1">
      <c r="A116" s="9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4.25" customHeight="1">
      <c r="A117" s="9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4.25" customHeight="1">
      <c r="A118" s="9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4.25" customHeight="1">
      <c r="A119" s="9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4.25" customHeight="1">
      <c r="A120" s="9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4.25" customHeight="1">
      <c r="A121" s="9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4.25" customHeight="1">
      <c r="A122" s="9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4.25" customHeight="1">
      <c r="A123" s="9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4.25" customHeight="1">
      <c r="A124" s="9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4.25" customHeight="1">
      <c r="A125" s="9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4.25" customHeight="1">
      <c r="A126" s="9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4.25" customHeight="1">
      <c r="A127" s="9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4.25" customHeight="1">
      <c r="A128" s="9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4.25" customHeight="1">
      <c r="A129" s="9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4.25" customHeight="1">
      <c r="A130" s="9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4.25" customHeight="1">
      <c r="A131" s="9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4.25" customHeight="1">
      <c r="A132" s="9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4.25" customHeight="1">
      <c r="A133" s="9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4.25" customHeight="1">
      <c r="A134" s="9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4.25" customHeight="1">
      <c r="A135" s="9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4.25" customHeight="1">
      <c r="A136" s="9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4.25" customHeight="1">
      <c r="A137" s="9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4.25" customHeight="1">
      <c r="A138" s="9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4.25" customHeight="1">
      <c r="A139" s="9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4.25" customHeight="1">
      <c r="A140" s="9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4.25" customHeight="1">
      <c r="A141" s="9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4.25" customHeight="1">
      <c r="A142" s="9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4.25" customHeight="1">
      <c r="A143" s="9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4.25" customHeight="1">
      <c r="A144" s="9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4.25" customHeight="1">
      <c r="A145" s="9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4.25" customHeight="1">
      <c r="A146" s="9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4.25" customHeight="1">
      <c r="A147" s="9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4.25" customHeight="1">
      <c r="A148" s="9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4.25" customHeight="1">
      <c r="A149" s="9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4.25" customHeight="1">
      <c r="A150" s="9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4.25" customHeight="1">
      <c r="A151" s="9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4.25" customHeight="1">
      <c r="A152" s="9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4.25" customHeight="1">
      <c r="A153" s="9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4.25" customHeight="1">
      <c r="A154" s="9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4.25" customHeight="1">
      <c r="A155" s="9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4.25" customHeight="1">
      <c r="A156" s="9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4.25" customHeight="1">
      <c r="A157" s="9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4.25" customHeight="1">
      <c r="A158" s="9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4.25" customHeight="1">
      <c r="A159" s="9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4.25" customHeight="1">
      <c r="A160" s="9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4.25" customHeight="1">
      <c r="A161" s="9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4.25" customHeight="1">
      <c r="A162" s="9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4.25" customHeight="1">
      <c r="A163" s="9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4.25" customHeight="1">
      <c r="A164" s="9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4.25" customHeight="1">
      <c r="A165" s="9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4.25" customHeight="1">
      <c r="A166" s="9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4.25" customHeight="1">
      <c r="A167" s="9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4.25" customHeight="1">
      <c r="A168" s="9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4.25" customHeight="1">
      <c r="A169" s="9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4.25" customHeight="1">
      <c r="A170" s="9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4.25" customHeight="1">
      <c r="A171" s="9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4.25" customHeight="1">
      <c r="A172" s="9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4.25" customHeight="1">
      <c r="A173" s="9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4.25" customHeight="1">
      <c r="A174" s="9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4.25" customHeight="1">
      <c r="A175" s="9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4.25" customHeight="1">
      <c r="A176" s="9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4.25" customHeight="1">
      <c r="A177" s="9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4.25" customHeight="1">
      <c r="A178" s="9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4.25" customHeight="1">
      <c r="A179" s="9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4.25" customHeight="1">
      <c r="A180" s="9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4.25" customHeight="1">
      <c r="A181" s="9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4.25" customHeight="1">
      <c r="A182" s="9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4.25" customHeight="1">
      <c r="A183" s="9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4.25" customHeight="1">
      <c r="A184" s="9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4.25" customHeight="1">
      <c r="A185" s="9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4.25" customHeight="1">
      <c r="A186" s="9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4.25" customHeight="1">
      <c r="A187" s="9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4.25" customHeight="1">
      <c r="A188" s="9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4.25" customHeight="1">
      <c r="A189" s="9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4.25" customHeight="1">
      <c r="A190" s="9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4.25" customHeight="1">
      <c r="A191" s="9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4.25" customHeight="1">
      <c r="A192" s="9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4.25" customHeight="1">
      <c r="A193" s="9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4.25" customHeight="1">
      <c r="A194" s="9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4.25" customHeight="1">
      <c r="A195" s="9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4.25" customHeight="1">
      <c r="A196" s="9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4.25" customHeight="1">
      <c r="A197" s="9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4.25" customHeight="1">
      <c r="A198" s="9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4.25" customHeight="1">
      <c r="A199" s="9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4.25" customHeight="1">
      <c r="A200" s="9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4.25" customHeight="1">
      <c r="A201" s="9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4.25" customHeight="1">
      <c r="A202" s="9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4.25" customHeight="1">
      <c r="A203" s="9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4.25" customHeight="1">
      <c r="A204" s="9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4.25" customHeight="1">
      <c r="A205" s="9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4.25" customHeight="1">
      <c r="A206" s="9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4.25" customHeight="1">
      <c r="A207" s="9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4.25" customHeight="1">
      <c r="A208" s="9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4.25" customHeight="1">
      <c r="A209" s="9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4.25" customHeight="1">
      <c r="A210" s="9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4.25" customHeight="1">
      <c r="A211" s="9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4.25" customHeight="1">
      <c r="A212" s="9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4.25" customHeight="1">
      <c r="A213" s="9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4.25" customHeight="1">
      <c r="A214" s="9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4.25" customHeight="1">
      <c r="A215" s="9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4.25" customHeight="1">
      <c r="A216" s="9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4.25" customHeight="1">
      <c r="A217" s="9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4.25" customHeight="1">
      <c r="A218" s="9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4.25" customHeight="1">
      <c r="A219" s="9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4.25" customHeight="1">
      <c r="A220" s="9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4.25" customHeight="1">
      <c r="A221" s="9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4.25" customHeight="1">
      <c r="A222" s="9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4.25" customHeight="1">
      <c r="A223" s="9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4.25" customHeight="1">
      <c r="A224" s="9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4.25" customHeight="1">
      <c r="A225" s="9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4.25" customHeight="1">
      <c r="A226" s="9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4.25" customHeight="1">
      <c r="A227" s="9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4.25" customHeight="1">
      <c r="A228" s="9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4.25" customHeight="1">
      <c r="A229" s="9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4.25" customHeight="1">
      <c r="A230" s="9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4.25" customHeight="1">
      <c r="A231" s="9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4.25" customHeight="1">
      <c r="A232" s="9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4.25" customHeight="1">
      <c r="A233" s="9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4.25" customHeight="1">
      <c r="A234" s="9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4.25" customHeight="1">
      <c r="A235" s="9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4.25" customHeight="1">
      <c r="A236" s="9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4.25" customHeight="1">
      <c r="A237" s="9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4.25" customHeight="1">
      <c r="A238" s="9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4.25" customHeight="1">
      <c r="A239" s="9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4.25" customHeight="1">
      <c r="A240" s="9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4.25" customHeight="1">
      <c r="A241" s="9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4.25" customHeight="1">
      <c r="A242" s="9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4.25" customHeight="1">
      <c r="A243" s="9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4.25" customHeight="1">
      <c r="A244" s="9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4.25" customHeight="1">
      <c r="A245" s="9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4.25" customHeight="1">
      <c r="A246" s="9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4.25" customHeight="1">
      <c r="A247" s="9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4.25" customHeight="1">
      <c r="A248" s="9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4.25" customHeight="1">
      <c r="A249" s="9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4.25" customHeight="1">
      <c r="A250" s="9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4.25" customHeight="1">
      <c r="A251" s="9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4.25" customHeight="1">
      <c r="A252" s="9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4.25" customHeight="1">
      <c r="A253" s="9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4.25" customHeight="1">
      <c r="A254" s="9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4.25" customHeight="1">
      <c r="A255" s="9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4.25" customHeight="1">
      <c r="A256" s="9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4.25" customHeight="1">
      <c r="A257" s="9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4.25" customHeight="1">
      <c r="A258" s="9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4.25" customHeight="1">
      <c r="A259" s="9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4.25" customHeight="1">
      <c r="A260" s="9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4.25" customHeight="1">
      <c r="A261" s="9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4.25" customHeight="1">
      <c r="A262" s="9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4.25" customHeight="1">
      <c r="A263" s="9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4.25" customHeight="1">
      <c r="A264" s="9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4.25" customHeight="1">
      <c r="A265" s="9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4.25" customHeight="1">
      <c r="A266" s="9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4.25" customHeight="1">
      <c r="A267" s="9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4.25" customHeight="1">
      <c r="A268" s="9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4.25" customHeight="1">
      <c r="A269" s="9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4.25" customHeight="1">
      <c r="A270" s="9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4.25" customHeight="1">
      <c r="A271" s="9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4.25" customHeight="1">
      <c r="A272" s="9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4.25" customHeight="1">
      <c r="A273" s="9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4.25" customHeight="1">
      <c r="A274" s="9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4.25" customHeight="1">
      <c r="A275" s="9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4.25" customHeight="1">
      <c r="A276" s="9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4.25" customHeight="1">
      <c r="A277" s="9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4.25" customHeight="1">
      <c r="A278" s="9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4.25" customHeight="1">
      <c r="A279" s="9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4.25" customHeight="1">
      <c r="A280" s="9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4.25" customHeight="1">
      <c r="A281" s="9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4.25" customHeight="1">
      <c r="A282" s="9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4.25" customHeight="1">
      <c r="A283" s="9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4.25" customHeight="1">
      <c r="A284" s="9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4.25" customHeight="1">
      <c r="A285" s="9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4.25" customHeight="1">
      <c r="A286" s="9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4.25" customHeight="1">
      <c r="A287" s="9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4.25" customHeight="1">
      <c r="A288" s="9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4.25" customHeight="1">
      <c r="A289" s="9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4.25" customHeight="1">
      <c r="A290" s="9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4.25" customHeight="1">
      <c r="A291" s="9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4.25" customHeight="1">
      <c r="A292" s="9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4.25" customHeight="1">
      <c r="A293" s="9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4.25" customHeight="1">
      <c r="A294" s="9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4.25" customHeight="1">
      <c r="A295" s="9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4.25" customHeight="1">
      <c r="A296" s="9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4.25" customHeight="1">
      <c r="A297" s="9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4.25" customHeight="1">
      <c r="A298" s="9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4.25" customHeight="1">
      <c r="A299" s="9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4.25" customHeight="1">
      <c r="A300" s="9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4.25" customHeight="1">
      <c r="A301" s="9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4.25" customHeight="1">
      <c r="A302" s="9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4.25" customHeight="1">
      <c r="A303" s="9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4.25" customHeight="1">
      <c r="A304" s="9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4.25" customHeight="1">
      <c r="A305" s="9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4.25" customHeight="1">
      <c r="A306" s="9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4.25" customHeight="1">
      <c r="A307" s="9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4.25" customHeight="1">
      <c r="A308" s="9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4.25" customHeight="1">
      <c r="A309" s="9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4.25" customHeight="1">
      <c r="A310" s="9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4.25" customHeight="1">
      <c r="A311" s="9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4.25" customHeight="1">
      <c r="A312" s="9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4.25" customHeight="1">
      <c r="A313" s="9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4.25" customHeight="1">
      <c r="A314" s="9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4.25" customHeight="1">
      <c r="A315" s="9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4.25" customHeight="1">
      <c r="A316" s="9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4.25" customHeight="1">
      <c r="A317" s="9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4.25" customHeight="1">
      <c r="A318" s="9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4.25" customHeight="1">
      <c r="A319" s="9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4.25" customHeight="1">
      <c r="A320" s="9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4.25" customHeight="1">
      <c r="A321" s="9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4.25" customHeight="1">
      <c r="A322" s="9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4.25" customHeight="1">
      <c r="A323" s="9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4.25" customHeight="1">
      <c r="A324" s="9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4.25" customHeight="1">
      <c r="A325" s="9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4.25" customHeight="1">
      <c r="A326" s="9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4.25" customHeight="1">
      <c r="A327" s="9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4.25" customHeight="1">
      <c r="A328" s="9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4.25" customHeight="1">
      <c r="A329" s="9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4.25" customHeight="1">
      <c r="A330" s="9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4.25" customHeight="1">
      <c r="A331" s="9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4.25" customHeight="1">
      <c r="A332" s="9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4.25" customHeight="1">
      <c r="A333" s="9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4.25" customHeight="1">
      <c r="A334" s="9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4.25" customHeight="1">
      <c r="A335" s="9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4.25" customHeight="1">
      <c r="A336" s="9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4.25" customHeight="1">
      <c r="A337" s="9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4.25" customHeight="1">
      <c r="A338" s="9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4.25" customHeight="1">
      <c r="A339" s="9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4.25" customHeight="1">
      <c r="A340" s="9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4.25" customHeight="1">
      <c r="A341" s="9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4.25" customHeight="1">
      <c r="A342" s="9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4.25" customHeight="1">
      <c r="A343" s="9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4.25" customHeight="1">
      <c r="A344" s="9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4.25" customHeight="1">
      <c r="A345" s="9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4.25" customHeight="1">
      <c r="A346" s="9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4.25" customHeight="1">
      <c r="A347" s="9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4.25" customHeight="1">
      <c r="A348" s="9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4.25" customHeight="1">
      <c r="A349" s="9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4.25" customHeight="1">
      <c r="A350" s="9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4.25" customHeight="1">
      <c r="A351" s="9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4.25" customHeight="1">
      <c r="A352" s="9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4.25" customHeight="1">
      <c r="A353" s="9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4.25" customHeight="1">
      <c r="A354" s="9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4.25" customHeight="1">
      <c r="A355" s="9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4.25" customHeight="1">
      <c r="A356" s="9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4.25" customHeight="1">
      <c r="A357" s="9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4.25" customHeight="1">
      <c r="A358" s="9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4.25" customHeight="1">
      <c r="A359" s="9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4.25" customHeight="1">
      <c r="A360" s="9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4.25" customHeight="1">
      <c r="A361" s="9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4.25" customHeight="1">
      <c r="A362" s="9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4.25" customHeight="1">
      <c r="A363" s="9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4.25" customHeight="1">
      <c r="A364" s="9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4.25" customHeight="1">
      <c r="A365" s="9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4.25" customHeight="1">
      <c r="A366" s="9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4.25" customHeight="1">
      <c r="A367" s="9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4.25" customHeight="1">
      <c r="A368" s="9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4.25" customHeight="1">
      <c r="A369" s="9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4.25" customHeight="1">
      <c r="A370" s="9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4.25" customHeight="1">
      <c r="A371" s="9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4.25" customHeight="1">
      <c r="A372" s="9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4.25" customHeight="1">
      <c r="A373" s="9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4.25" customHeight="1">
      <c r="A374" s="9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4.25" customHeight="1">
      <c r="A375" s="9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4.25" customHeight="1">
      <c r="A376" s="9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4.25" customHeight="1">
      <c r="A377" s="9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4.25" customHeight="1">
      <c r="A378" s="9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4.25" customHeight="1">
      <c r="A379" s="9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4.25" customHeight="1">
      <c r="A380" s="9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4.25" customHeight="1">
      <c r="A381" s="9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4.25" customHeight="1">
      <c r="A382" s="9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4.25" customHeight="1">
      <c r="A383" s="9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4.25" customHeight="1">
      <c r="A384" s="9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4.25" customHeight="1">
      <c r="A385" s="9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4.25" customHeight="1">
      <c r="A386" s="9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4.25" customHeight="1">
      <c r="A387" s="9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4.25" customHeight="1">
      <c r="A388" s="9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4.25" customHeight="1">
      <c r="A389" s="9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4.25" customHeight="1">
      <c r="A390" s="9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4.25" customHeight="1">
      <c r="A391" s="9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4.25" customHeight="1">
      <c r="A392" s="9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4.25" customHeight="1">
      <c r="A393" s="9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4.25" customHeight="1">
      <c r="A394" s="9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4.25" customHeight="1">
      <c r="A395" s="9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4.25" customHeight="1">
      <c r="A396" s="9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4.25" customHeight="1">
      <c r="A397" s="9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4.25" customHeight="1">
      <c r="A398" s="9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4.25" customHeight="1">
      <c r="A399" s="9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4.25" customHeight="1">
      <c r="A400" s="9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4.25" customHeight="1">
      <c r="A401" s="9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4.25" customHeight="1">
      <c r="A402" s="9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4.25" customHeight="1">
      <c r="A403" s="9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4.25" customHeight="1">
      <c r="A404" s="9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4.25" customHeight="1">
      <c r="A405" s="9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4.25" customHeight="1">
      <c r="A406" s="9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4.25" customHeight="1">
      <c r="A407" s="9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4.25" customHeight="1">
      <c r="A408" s="9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4.25" customHeight="1">
      <c r="A409" s="9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4.25" customHeight="1">
      <c r="A410" s="9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4.25" customHeight="1">
      <c r="A411" s="9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4.25" customHeight="1">
      <c r="A412" s="9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4.25" customHeight="1">
      <c r="A413" s="9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4.25" customHeight="1">
      <c r="A414" s="9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4.25" customHeight="1">
      <c r="A415" s="9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4.25" customHeight="1">
      <c r="A416" s="9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4.25" customHeight="1">
      <c r="A417" s="9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4.25" customHeight="1">
      <c r="A418" s="9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4.25" customHeight="1">
      <c r="A419" s="9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4.25" customHeight="1">
      <c r="A420" s="9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4.25" customHeight="1">
      <c r="A421" s="9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4.25" customHeight="1">
      <c r="A422" s="9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4.25" customHeight="1">
      <c r="A423" s="9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4.25" customHeight="1">
      <c r="A424" s="9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4.25" customHeight="1">
      <c r="A425" s="9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4.25" customHeight="1">
      <c r="A426" s="9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4.25" customHeight="1">
      <c r="A427" s="9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4.25" customHeight="1">
      <c r="A428" s="9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4.25" customHeight="1">
      <c r="A429" s="9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4.25" customHeight="1">
      <c r="A430" s="9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4.25" customHeight="1">
      <c r="A431" s="9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4.25" customHeight="1">
      <c r="A432" s="9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4.25" customHeight="1">
      <c r="A433" s="9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4.25" customHeight="1">
      <c r="A434" s="9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4.25" customHeight="1">
      <c r="A435" s="9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4.25" customHeight="1">
      <c r="A436" s="9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4.25" customHeight="1">
      <c r="A437" s="9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4.25" customHeight="1">
      <c r="A438" s="9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4.25" customHeight="1">
      <c r="A439" s="9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4.25" customHeight="1">
      <c r="A440" s="9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4.25" customHeight="1">
      <c r="A441" s="9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4.25" customHeight="1">
      <c r="A442" s="9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4.25" customHeight="1">
      <c r="A443" s="9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4.25" customHeight="1">
      <c r="A444" s="9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4.25" customHeight="1">
      <c r="A445" s="9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4.25" customHeight="1">
      <c r="A446" s="9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4.25" customHeight="1">
      <c r="A447" s="9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4.25" customHeight="1">
      <c r="A448" s="9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4.25" customHeight="1">
      <c r="A449" s="9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4.25" customHeight="1">
      <c r="A450" s="9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4.25" customHeight="1">
      <c r="A451" s="9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4.25" customHeight="1">
      <c r="A452" s="9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4.25" customHeight="1">
      <c r="A453" s="9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4.25" customHeight="1">
      <c r="A454" s="9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4.25" customHeight="1">
      <c r="A455" s="9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4.25" customHeight="1">
      <c r="A456" s="9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4.25" customHeight="1">
      <c r="A457" s="9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4.25" customHeight="1">
      <c r="A458" s="9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4.25" customHeight="1">
      <c r="A459" s="9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4.25" customHeight="1">
      <c r="A460" s="9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4.25" customHeight="1">
      <c r="A461" s="9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4.25" customHeight="1">
      <c r="A462" s="9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4.25" customHeight="1">
      <c r="A463" s="9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4.25" customHeight="1">
      <c r="A464" s="9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4.25" customHeight="1">
      <c r="A465" s="9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4.25" customHeight="1">
      <c r="A466" s="9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4.25" customHeight="1">
      <c r="A467" s="9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4.25" customHeight="1">
      <c r="A468" s="9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4.25" customHeight="1">
      <c r="A469" s="9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4.25" customHeight="1">
      <c r="A470" s="9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4.25" customHeight="1">
      <c r="A471" s="9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4.25" customHeight="1">
      <c r="A472" s="9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4.25" customHeight="1">
      <c r="A473" s="9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4.25" customHeight="1">
      <c r="A474" s="9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4.25" customHeight="1">
      <c r="A475" s="9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4.25" customHeight="1">
      <c r="A476" s="9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4.25" customHeight="1">
      <c r="A477" s="9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4.25" customHeight="1">
      <c r="A478" s="9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4.25" customHeight="1">
      <c r="A479" s="9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4.25" customHeight="1">
      <c r="A480" s="9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4.25" customHeight="1">
      <c r="A481" s="9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4.25" customHeight="1">
      <c r="A482" s="9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4.25" customHeight="1">
      <c r="A483" s="9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4.25" customHeight="1">
      <c r="A484" s="9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4.25" customHeight="1">
      <c r="A485" s="9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4.25" customHeight="1">
      <c r="A486" s="9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4.25" customHeight="1">
      <c r="A487" s="9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4.25" customHeight="1">
      <c r="A488" s="9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4.25" customHeight="1">
      <c r="A489" s="9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4.25" customHeight="1">
      <c r="A490" s="9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4.25" customHeight="1">
      <c r="A491" s="9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4.25" customHeight="1">
      <c r="A492" s="9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4.25" customHeight="1">
      <c r="A493" s="9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4.25" customHeight="1">
      <c r="A494" s="9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4.25" customHeight="1">
      <c r="A495" s="9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4.25" customHeight="1">
      <c r="A496" s="9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4.25" customHeight="1">
      <c r="A497" s="9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4.25" customHeight="1">
      <c r="A498" s="9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4.25" customHeight="1">
      <c r="A499" s="9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4.25" customHeight="1">
      <c r="A500" s="9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4.25" customHeight="1">
      <c r="A501" s="9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4.25" customHeight="1">
      <c r="A502" s="9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4.25" customHeight="1">
      <c r="A503" s="9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4.25" customHeight="1">
      <c r="A504" s="9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4.25" customHeight="1">
      <c r="A505" s="9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4.25" customHeight="1">
      <c r="A506" s="9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4.25" customHeight="1">
      <c r="A507" s="9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4.25" customHeight="1">
      <c r="A508" s="9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4.25" customHeight="1">
      <c r="A509" s="9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4.25" customHeight="1">
      <c r="A510" s="9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4.25" customHeight="1">
      <c r="A511" s="9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4.25" customHeight="1">
      <c r="A512" s="9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4.25" customHeight="1">
      <c r="A513" s="9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4.25" customHeight="1">
      <c r="A514" s="9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4.25" customHeight="1">
      <c r="A515" s="9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4.25" customHeight="1">
      <c r="A516" s="9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4.25" customHeight="1">
      <c r="A517" s="9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4.25" customHeight="1">
      <c r="A518" s="9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4.25" customHeight="1">
      <c r="A519" s="9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4.25" customHeight="1">
      <c r="A520" s="9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4.25" customHeight="1">
      <c r="A521" s="9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4.25" customHeight="1">
      <c r="A522" s="9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4.25" customHeight="1">
      <c r="A523" s="9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4.25" customHeight="1">
      <c r="A524" s="9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4.25" customHeight="1">
      <c r="A525" s="9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4.25" customHeight="1">
      <c r="A526" s="9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4.25" customHeight="1">
      <c r="A527" s="9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4.25" customHeight="1">
      <c r="A528" s="9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4.25" customHeight="1">
      <c r="A529" s="9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4.25" customHeight="1">
      <c r="A530" s="9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4.25" customHeight="1">
      <c r="A531" s="9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4.25" customHeight="1">
      <c r="A532" s="9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4.25" customHeight="1">
      <c r="A533" s="9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4.25" customHeight="1">
      <c r="A534" s="9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4.25" customHeight="1">
      <c r="A535" s="9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4.25" customHeight="1">
      <c r="A536" s="9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4.25" customHeight="1">
      <c r="A537" s="9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4.25" customHeight="1">
      <c r="A538" s="9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4.25" customHeight="1">
      <c r="A539" s="9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4.25" customHeight="1">
      <c r="A540" s="9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4.25" customHeight="1">
      <c r="A541" s="9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4.25" customHeight="1">
      <c r="A542" s="9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4.25" customHeight="1">
      <c r="A543" s="9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4.25" customHeight="1">
      <c r="A544" s="9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4.25" customHeight="1">
      <c r="A545" s="9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4.25" customHeight="1">
      <c r="A546" s="9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4.25" customHeight="1">
      <c r="A547" s="9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4.25" customHeight="1">
      <c r="A548" s="9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4.25" customHeight="1">
      <c r="A549" s="9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4.25" customHeight="1">
      <c r="A550" s="9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4.25" customHeight="1">
      <c r="A551" s="9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4.25" customHeight="1">
      <c r="A552" s="9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4.25" customHeight="1">
      <c r="A553" s="9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4.25" customHeight="1">
      <c r="A554" s="9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4.25" customHeight="1">
      <c r="A555" s="9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4.25" customHeight="1">
      <c r="A556" s="9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4.25" customHeight="1">
      <c r="A557" s="9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4.25" customHeight="1">
      <c r="A558" s="9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4.25" customHeight="1">
      <c r="A559" s="9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4.25" customHeight="1">
      <c r="A560" s="9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4.25" customHeight="1">
      <c r="A561" s="9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4.25" customHeight="1">
      <c r="A562" s="9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4.25" customHeight="1">
      <c r="A563" s="9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4.25" customHeight="1">
      <c r="A564" s="9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4.25" customHeight="1">
      <c r="A565" s="9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4.25" customHeight="1">
      <c r="A566" s="9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4.25" customHeight="1">
      <c r="A567" s="9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4.25" customHeight="1">
      <c r="A568" s="9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4.25" customHeight="1">
      <c r="A569" s="9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4.25" customHeight="1">
      <c r="A570" s="9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4.25" customHeight="1">
      <c r="A571" s="9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4.25" customHeight="1">
      <c r="A572" s="9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4.25" customHeight="1">
      <c r="A573" s="9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4.25" customHeight="1">
      <c r="A574" s="9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4.25" customHeight="1">
      <c r="A575" s="9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4.25" customHeight="1">
      <c r="A576" s="9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4.25" customHeight="1">
      <c r="A577" s="9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4.25" customHeight="1">
      <c r="A578" s="9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4.25" customHeight="1">
      <c r="A579" s="9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4.25" customHeight="1">
      <c r="A580" s="9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4.25" customHeight="1">
      <c r="A581" s="9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4.25" customHeight="1">
      <c r="A582" s="9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4.25" customHeight="1">
      <c r="A583" s="9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4.25" customHeight="1">
      <c r="A584" s="9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4.25" customHeight="1">
      <c r="A585" s="9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4.25" customHeight="1">
      <c r="A586" s="9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4.25" customHeight="1">
      <c r="A587" s="9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4.25" customHeight="1">
      <c r="A588" s="9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4.25" customHeight="1">
      <c r="A589" s="9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4.25" customHeight="1">
      <c r="A590" s="9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4.25" customHeight="1">
      <c r="A591" s="9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4.25" customHeight="1">
      <c r="A592" s="9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4.25" customHeight="1">
      <c r="A593" s="9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4.25" customHeight="1">
      <c r="A594" s="9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4.25" customHeight="1">
      <c r="A595" s="9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4.25" customHeight="1">
      <c r="A596" s="9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4.25" customHeight="1">
      <c r="A597" s="9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4.25" customHeight="1">
      <c r="A598" s="9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4.25" customHeight="1">
      <c r="A599" s="9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4.25" customHeight="1">
      <c r="A600" s="9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4.25" customHeight="1">
      <c r="A601" s="9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4.25" customHeight="1">
      <c r="A602" s="9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4.25" customHeight="1">
      <c r="A603" s="9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4.25" customHeight="1">
      <c r="A604" s="9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4.25" customHeight="1">
      <c r="A605" s="9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4.25" customHeight="1">
      <c r="A606" s="9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4.25" customHeight="1">
      <c r="A607" s="9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4.25" customHeight="1">
      <c r="A608" s="9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4.25" customHeight="1">
      <c r="A609" s="9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4.25" customHeight="1">
      <c r="A610" s="9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4.25" customHeight="1">
      <c r="A611" s="9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4.25" customHeight="1">
      <c r="A612" s="9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4.25" customHeight="1">
      <c r="A613" s="9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4.25" customHeight="1">
      <c r="A614" s="9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4.25" customHeight="1">
      <c r="A615" s="9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4.25" customHeight="1">
      <c r="A616" s="9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4.25" customHeight="1">
      <c r="A617" s="9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4.25" customHeight="1">
      <c r="A618" s="9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4.25" customHeight="1">
      <c r="A619" s="9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4.25" customHeight="1">
      <c r="A620" s="9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4.25" customHeight="1">
      <c r="A621" s="9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4.25" customHeight="1">
      <c r="A622" s="9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4.25" customHeight="1">
      <c r="A623" s="9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4.25" customHeight="1">
      <c r="A624" s="9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4.25" customHeight="1">
      <c r="A625" s="9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4.25" customHeight="1">
      <c r="A626" s="9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4.25" customHeight="1">
      <c r="A627" s="9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4.25" customHeight="1">
      <c r="A628" s="9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4.25" customHeight="1">
      <c r="A629" s="9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4.25" customHeight="1">
      <c r="A630" s="9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4.25" customHeight="1">
      <c r="A631" s="9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4.25" customHeight="1">
      <c r="A632" s="9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4.25" customHeight="1">
      <c r="A633" s="9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4.25" customHeight="1">
      <c r="A634" s="9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4.25" customHeight="1">
      <c r="A635" s="9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4.25" customHeight="1">
      <c r="A636" s="9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4.25" customHeight="1">
      <c r="A637" s="9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4.25" customHeight="1">
      <c r="A638" s="9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4.25" customHeight="1">
      <c r="A639" s="9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4.25" customHeight="1">
      <c r="A640" s="9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4.25" customHeight="1">
      <c r="A641" s="9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4.25" customHeight="1">
      <c r="A642" s="9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4.25" customHeight="1">
      <c r="A643" s="9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4.25" customHeight="1">
      <c r="A644" s="9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4.25" customHeight="1">
      <c r="A645" s="9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4.25" customHeight="1">
      <c r="A646" s="9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4.25" customHeight="1">
      <c r="A647" s="9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4.25" customHeight="1">
      <c r="A648" s="9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4.25" customHeight="1">
      <c r="A649" s="9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4.25" customHeight="1">
      <c r="A650" s="9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4.25" customHeight="1">
      <c r="A651" s="9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4.25" customHeight="1">
      <c r="A652" s="9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4.25" customHeight="1">
      <c r="A653" s="9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4.25" customHeight="1">
      <c r="A654" s="9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4.25" customHeight="1">
      <c r="A655" s="9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4.25" customHeight="1">
      <c r="A656" s="9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4.25" customHeight="1">
      <c r="A657" s="9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4.25" customHeight="1">
      <c r="A658" s="9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4.25" customHeight="1">
      <c r="A659" s="9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4.25" customHeight="1">
      <c r="A660" s="9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4.25" customHeight="1">
      <c r="A661" s="9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4.25" customHeight="1">
      <c r="A662" s="9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4.25" customHeight="1">
      <c r="A663" s="9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4.25" customHeight="1">
      <c r="A664" s="9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4.25" customHeight="1">
      <c r="A665" s="9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4.25" customHeight="1">
      <c r="A666" s="9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4.25" customHeight="1">
      <c r="A667" s="9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4.25" customHeight="1">
      <c r="A668" s="9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4.25" customHeight="1">
      <c r="A669" s="9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4.25" customHeight="1">
      <c r="A670" s="9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4.25" customHeight="1">
      <c r="A671" s="9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4.25" customHeight="1">
      <c r="A672" s="9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4.25" customHeight="1">
      <c r="A673" s="9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4.25" customHeight="1">
      <c r="A674" s="9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4.25" customHeight="1">
      <c r="A675" s="9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4.25" customHeight="1">
      <c r="A676" s="9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4.25" customHeight="1">
      <c r="A677" s="9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4.25" customHeight="1">
      <c r="A678" s="9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4.25" customHeight="1">
      <c r="A679" s="9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4.25" customHeight="1">
      <c r="A680" s="9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4.25" customHeight="1">
      <c r="A681" s="9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4.25" customHeight="1">
      <c r="A682" s="9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4.25" customHeight="1">
      <c r="A683" s="9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4.25" customHeight="1">
      <c r="A684" s="9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4.25" customHeight="1">
      <c r="A685" s="9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4.25" customHeight="1">
      <c r="A686" s="9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4.25" customHeight="1">
      <c r="A687" s="9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4.25" customHeight="1">
      <c r="A688" s="9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4.25" customHeight="1">
      <c r="A689" s="9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4.25" customHeight="1">
      <c r="A690" s="9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4.25" customHeight="1">
      <c r="A691" s="9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4.25" customHeight="1">
      <c r="A692" s="9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4.25" customHeight="1">
      <c r="A693" s="9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4.25" customHeight="1">
      <c r="A694" s="9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4.25" customHeight="1">
      <c r="A695" s="9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4.25" customHeight="1">
      <c r="A696" s="9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4.25" customHeight="1">
      <c r="A697" s="9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4.25" customHeight="1">
      <c r="A698" s="9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4.25" customHeight="1">
      <c r="A699" s="9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4.25" customHeight="1">
      <c r="A700" s="9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4.25" customHeight="1">
      <c r="A701" s="9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4.25" customHeight="1">
      <c r="A702" s="9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4.25" customHeight="1">
      <c r="A703" s="9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4.25" customHeight="1">
      <c r="A704" s="9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4.25" customHeight="1">
      <c r="A705" s="9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4.25" customHeight="1">
      <c r="A706" s="9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4.25" customHeight="1">
      <c r="A707" s="9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4.25" customHeight="1">
      <c r="A708" s="9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4.25" customHeight="1">
      <c r="A709" s="9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4.25" customHeight="1">
      <c r="A710" s="9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4.25" customHeight="1">
      <c r="A711" s="9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4.25" customHeight="1">
      <c r="A712" s="9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4.25" customHeight="1">
      <c r="A713" s="9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4.25" customHeight="1">
      <c r="A714" s="9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4.25" customHeight="1">
      <c r="A715" s="9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4.25" customHeight="1">
      <c r="A716" s="9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4.25" customHeight="1">
      <c r="A717" s="9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4.25" customHeight="1">
      <c r="A718" s="9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4.25" customHeight="1">
      <c r="A719" s="9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4.25" customHeight="1">
      <c r="A720" s="9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4.25" customHeight="1">
      <c r="A721" s="9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4.25" customHeight="1">
      <c r="A722" s="9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4.25" customHeight="1">
      <c r="A723" s="9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4.25" customHeight="1">
      <c r="A724" s="9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4.25" customHeight="1">
      <c r="A725" s="9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4.25" customHeight="1">
      <c r="A726" s="9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4.25" customHeight="1">
      <c r="A727" s="9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4.25" customHeight="1">
      <c r="A728" s="9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4.25" customHeight="1">
      <c r="A729" s="9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4.25" customHeight="1">
      <c r="A730" s="9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4.25" customHeight="1">
      <c r="A731" s="9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4.25" customHeight="1">
      <c r="A732" s="9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4.25" customHeight="1">
      <c r="A733" s="9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4.25" customHeight="1">
      <c r="A734" s="9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4.25" customHeight="1">
      <c r="A735" s="9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4.25" customHeight="1">
      <c r="A736" s="9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4.25" customHeight="1">
      <c r="A737" s="9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4.25" customHeight="1">
      <c r="A738" s="9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4.25" customHeight="1">
      <c r="A739" s="9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4.25" customHeight="1">
      <c r="A740" s="9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4.25" customHeight="1">
      <c r="A741" s="9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4.25" customHeight="1">
      <c r="A742" s="9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4.25" customHeight="1">
      <c r="A743" s="9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4.25" customHeight="1">
      <c r="A744" s="9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4.25" customHeight="1">
      <c r="A745" s="9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4.25" customHeight="1">
      <c r="A746" s="9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4.25" customHeight="1">
      <c r="A747" s="9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4.25" customHeight="1">
      <c r="A748" s="9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4.25" customHeight="1">
      <c r="A749" s="9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4.25" customHeight="1">
      <c r="A750" s="9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4.25" customHeight="1">
      <c r="A751" s="9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4.25" customHeight="1">
      <c r="A752" s="9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4.25" customHeight="1">
      <c r="A753" s="9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4.25" customHeight="1">
      <c r="A754" s="9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4.25" customHeight="1">
      <c r="A755" s="9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4.25" customHeight="1">
      <c r="A756" s="9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4.25" customHeight="1">
      <c r="A757" s="9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4.25" customHeight="1">
      <c r="A758" s="9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4.25" customHeight="1">
      <c r="A759" s="9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4.25" customHeight="1">
      <c r="A760" s="9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4.25" customHeight="1">
      <c r="A761" s="9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4.25" customHeight="1">
      <c r="A762" s="9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4.25" customHeight="1">
      <c r="A763" s="9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4.25" customHeight="1">
      <c r="A764" s="9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4.25" customHeight="1">
      <c r="A765" s="9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4.25" customHeight="1">
      <c r="A766" s="9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4.25" customHeight="1">
      <c r="A767" s="9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4.25" customHeight="1">
      <c r="A768" s="9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4.25" customHeight="1">
      <c r="A769" s="9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4.25" customHeight="1">
      <c r="A770" s="9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4.25" customHeight="1">
      <c r="A771" s="9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4.25" customHeight="1">
      <c r="A772" s="9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4.25" customHeight="1">
      <c r="A773" s="9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4.25" customHeight="1">
      <c r="A774" s="9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4.25" customHeight="1">
      <c r="A775" s="9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4.25" customHeight="1">
      <c r="A776" s="9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4.25" customHeight="1">
      <c r="A777" s="9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4.25" customHeight="1">
      <c r="A778" s="9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4.25" customHeight="1">
      <c r="A779" s="9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4.25" customHeight="1">
      <c r="A780" s="9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4.25" customHeight="1">
      <c r="A781" s="9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4.25" customHeight="1">
      <c r="A782" s="9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4.25" customHeight="1">
      <c r="A783" s="9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4.25" customHeight="1">
      <c r="A784" s="9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4.25" customHeight="1">
      <c r="A785" s="9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4.25" customHeight="1">
      <c r="A786" s="9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4.25" customHeight="1">
      <c r="A787" s="9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4.25" customHeight="1">
      <c r="A788" s="9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4.25" customHeight="1">
      <c r="A789" s="9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4.25" customHeight="1">
      <c r="A790" s="9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4.25" customHeight="1">
      <c r="A791" s="9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4.25" customHeight="1">
      <c r="A792" s="9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4.25" customHeight="1">
      <c r="A793" s="9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4.25" customHeight="1">
      <c r="A794" s="9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4.25" customHeight="1">
      <c r="A795" s="9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4.25" customHeight="1">
      <c r="A796" s="9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4.25" customHeight="1">
      <c r="A797" s="9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4.25" customHeight="1">
      <c r="A798" s="9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4.25" customHeight="1">
      <c r="A799" s="9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4.25" customHeight="1">
      <c r="A800" s="9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4.25" customHeight="1">
      <c r="A801" s="9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4.25" customHeight="1">
      <c r="A802" s="9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4.25" customHeight="1">
      <c r="A803" s="9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4.25" customHeight="1">
      <c r="A804" s="9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4.25" customHeight="1">
      <c r="A805" s="9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4.25" customHeight="1">
      <c r="A806" s="9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4.25" customHeight="1">
      <c r="A807" s="9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4.25" customHeight="1">
      <c r="A808" s="9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4.25" customHeight="1">
      <c r="A809" s="9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4.25" customHeight="1">
      <c r="A810" s="9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4.25" customHeight="1">
      <c r="A811" s="9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4.25" customHeight="1">
      <c r="A812" s="9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4.25" customHeight="1">
      <c r="A813" s="9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4.25" customHeight="1">
      <c r="A814" s="9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4.25" customHeight="1">
      <c r="A815" s="9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4.25" customHeight="1">
      <c r="A816" s="9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4.25" customHeight="1">
      <c r="A817" s="9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4.25" customHeight="1">
      <c r="A818" s="9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4.25" customHeight="1">
      <c r="A819" s="9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4.25" customHeight="1">
      <c r="A820" s="9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4.25" customHeight="1">
      <c r="A821" s="9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4.25" customHeight="1">
      <c r="A822" s="9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4.25" customHeight="1">
      <c r="A823" s="9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4.25" customHeight="1">
      <c r="A824" s="9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4.25" customHeight="1">
      <c r="A825" s="9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4.25" customHeight="1">
      <c r="A826" s="9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4.25" customHeight="1">
      <c r="A827" s="9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4.25" customHeight="1">
      <c r="A828" s="9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4.25" customHeight="1">
      <c r="A829" s="9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4.25" customHeight="1">
      <c r="A830" s="9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4.25" customHeight="1">
      <c r="A831" s="9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4.25" customHeight="1">
      <c r="A832" s="9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4.25" customHeight="1">
      <c r="A833" s="9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4.25" customHeight="1">
      <c r="A834" s="9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4.25" customHeight="1">
      <c r="A835" s="9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4.25" customHeight="1">
      <c r="A836" s="9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4.25" customHeight="1">
      <c r="A837" s="9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4.25" customHeight="1">
      <c r="A838" s="9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4.25" customHeight="1">
      <c r="A839" s="9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4.25" customHeight="1">
      <c r="A840" s="9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4.25" customHeight="1">
      <c r="A841" s="9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4.25" customHeight="1">
      <c r="A842" s="9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4.25" customHeight="1">
      <c r="A843" s="9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4.25" customHeight="1">
      <c r="A844" s="9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4.25" customHeight="1">
      <c r="A845" s="9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4.25" customHeight="1">
      <c r="A846" s="9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4.25" customHeight="1">
      <c r="A847" s="9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4.25" customHeight="1">
      <c r="A848" s="9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4.25" customHeight="1">
      <c r="A849" s="9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4.25" customHeight="1">
      <c r="A850" s="9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4.25" customHeight="1">
      <c r="A851" s="9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4.25" customHeight="1">
      <c r="A852" s="9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4.25" customHeight="1">
      <c r="A853" s="9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4.25" customHeight="1">
      <c r="A854" s="9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4.25" customHeight="1">
      <c r="A855" s="9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4.25" customHeight="1">
      <c r="A856" s="9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4.25" customHeight="1">
      <c r="A857" s="9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4.25" customHeight="1">
      <c r="A858" s="9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4.25" customHeight="1">
      <c r="A859" s="9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4.25" customHeight="1">
      <c r="A860" s="9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4.25" customHeight="1">
      <c r="A861" s="9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4.25" customHeight="1">
      <c r="A862" s="9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4.25" customHeight="1">
      <c r="A863" s="9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4.25" customHeight="1">
      <c r="A864" s="9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4.25" customHeight="1">
      <c r="A865" s="9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4.25" customHeight="1">
      <c r="A866" s="9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4.25" customHeight="1">
      <c r="A867" s="9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4.25" customHeight="1">
      <c r="A868" s="9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4.25" customHeight="1">
      <c r="A869" s="9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4.25" customHeight="1">
      <c r="A870" s="9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4.25" customHeight="1">
      <c r="A871" s="9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4.25" customHeight="1">
      <c r="A872" s="9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4.25" customHeight="1">
      <c r="A873" s="9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4.25" customHeight="1">
      <c r="A874" s="9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4.25" customHeight="1">
      <c r="A875" s="9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4.25" customHeight="1">
      <c r="A876" s="9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4.25" customHeight="1">
      <c r="A877" s="9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4.25" customHeight="1">
      <c r="A878" s="9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4.25" customHeight="1">
      <c r="A879" s="9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4.25" customHeight="1">
      <c r="A880" s="9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4.25" customHeight="1">
      <c r="A881" s="9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4.25" customHeight="1">
      <c r="A882" s="9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4.25" customHeight="1">
      <c r="A883" s="9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4.25" customHeight="1">
      <c r="A884" s="9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4.25" customHeight="1">
      <c r="A885" s="9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4.25" customHeight="1">
      <c r="A886" s="9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4.25" customHeight="1">
      <c r="A887" s="9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4.25" customHeight="1">
      <c r="A888" s="9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4.25" customHeight="1">
      <c r="A889" s="9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4.25" customHeight="1">
      <c r="A890" s="9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4.25" customHeight="1">
      <c r="A891" s="9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4.25" customHeight="1">
      <c r="A892" s="9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4.25" customHeight="1">
      <c r="A893" s="9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4.25" customHeight="1">
      <c r="A894" s="9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4.25" customHeight="1">
      <c r="A895" s="9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4.25" customHeight="1">
      <c r="A896" s="9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4.25" customHeight="1">
      <c r="A897" s="9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4.25" customHeight="1">
      <c r="A898" s="9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4.25" customHeight="1">
      <c r="A899" s="9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4.25" customHeight="1">
      <c r="A900" s="9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4.25" customHeight="1">
      <c r="A901" s="9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4.25" customHeight="1">
      <c r="A902" s="9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4.25" customHeight="1">
      <c r="A903" s="9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4.25" customHeight="1">
      <c r="A904" s="9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4.25" customHeight="1">
      <c r="A905" s="9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4.25" customHeight="1">
      <c r="A906" s="9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4.25" customHeight="1">
      <c r="A907" s="9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4.25" customHeight="1">
      <c r="A908" s="9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4.25" customHeight="1">
      <c r="A909" s="9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4.25" customHeight="1">
      <c r="A910" s="9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4.25" customHeight="1">
      <c r="A911" s="9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4.25" customHeight="1">
      <c r="A912" s="9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4.25" customHeight="1">
      <c r="A913" s="9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4.25" customHeight="1">
      <c r="A914" s="9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4.25" customHeight="1">
      <c r="A915" s="9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4.25" customHeight="1">
      <c r="A916" s="9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4.25" customHeight="1">
      <c r="A917" s="9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4.25" customHeight="1">
      <c r="A918" s="9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4.25" customHeight="1">
      <c r="A919" s="9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4.25" customHeight="1">
      <c r="A920" s="9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4.25" customHeight="1">
      <c r="A921" s="9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4.25" customHeight="1">
      <c r="A922" s="9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4.25" customHeight="1">
      <c r="A923" s="9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4.25" customHeight="1">
      <c r="A924" s="9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4.25" customHeight="1">
      <c r="A925" s="9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4.25" customHeight="1">
      <c r="A926" s="9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4.25" customHeight="1">
      <c r="A927" s="9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4.25" customHeight="1">
      <c r="A928" s="9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4.25" customHeight="1">
      <c r="A929" s="9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4.25" customHeight="1">
      <c r="A930" s="9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4.25" customHeight="1">
      <c r="A931" s="9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4.25" customHeight="1">
      <c r="A932" s="9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4.25" customHeight="1">
      <c r="A933" s="9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4.25" customHeight="1">
      <c r="A934" s="9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4.25" customHeight="1">
      <c r="A935" s="9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4.25" customHeight="1">
      <c r="A936" s="9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4.25" customHeight="1">
      <c r="A937" s="9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4.25" customHeight="1">
      <c r="A938" s="9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4.25" customHeight="1">
      <c r="A939" s="9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4.25" customHeight="1">
      <c r="A940" s="9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4.25" customHeight="1">
      <c r="A941" s="9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4.25" customHeight="1">
      <c r="A942" s="9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4.25" customHeight="1">
      <c r="A943" s="9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4.25" customHeight="1">
      <c r="A944" s="9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4.25" customHeight="1">
      <c r="A945" s="9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4.25" customHeight="1">
      <c r="A946" s="9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4.25" customHeight="1">
      <c r="A947" s="9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4.25" customHeight="1">
      <c r="A948" s="9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4.25" customHeight="1">
      <c r="A949" s="9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4.25" customHeight="1">
      <c r="A950" s="9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4.25" customHeight="1">
      <c r="A951" s="9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4.25" customHeight="1">
      <c r="A952" s="9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4.25" customHeight="1">
      <c r="A953" s="9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4.25" customHeight="1">
      <c r="A954" s="9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4.25" customHeight="1">
      <c r="A955" s="9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4.25" customHeight="1">
      <c r="A956" s="9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4.25" customHeight="1">
      <c r="A957" s="9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4.25" customHeight="1">
      <c r="A958" s="9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4.25" customHeight="1">
      <c r="A959" s="9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4.25" customHeight="1">
      <c r="A960" s="9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4.25" customHeight="1">
      <c r="A961" s="9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4.25" customHeight="1">
      <c r="A962" s="9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4.25" customHeight="1">
      <c r="A963" s="9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4.25" customHeight="1">
      <c r="A964" s="9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4.25" customHeight="1">
      <c r="A965" s="9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4.25" customHeight="1">
      <c r="A966" s="9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4.25" customHeight="1">
      <c r="A967" s="9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4.25" customHeight="1">
      <c r="A968" s="9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4.25" customHeight="1">
      <c r="A969" s="9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4.25" customHeight="1">
      <c r="A970" s="9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4.25" customHeight="1">
      <c r="A971" s="9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4.25" customHeight="1">
      <c r="A972" s="9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4.25" customHeight="1">
      <c r="A973" s="9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4.25" customHeight="1">
      <c r="A974" s="9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4.25" customHeight="1">
      <c r="A975" s="9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4.25" customHeight="1">
      <c r="A976" s="9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4.25" customHeight="1">
      <c r="A977" s="9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4.25" customHeight="1">
      <c r="A978" s="9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4.25" customHeight="1">
      <c r="A979" s="9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4.25" customHeight="1">
      <c r="A980" s="9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4.25" customHeight="1">
      <c r="A981" s="9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4.25" customHeight="1">
      <c r="A982" s="9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4.25" customHeight="1">
      <c r="A983" s="9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4.25" customHeight="1">
      <c r="A984" s="9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4.25" customHeight="1">
      <c r="A985" s="9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4.25" customHeight="1">
      <c r="A986" s="9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4.25" customHeight="1">
      <c r="A987" s="9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4.25" customHeight="1">
      <c r="A988" s="9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4.25" customHeight="1">
      <c r="A989" s="9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4.25" customHeight="1">
      <c r="A990" s="9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4.25" customHeight="1">
      <c r="A991" s="9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4.25" customHeight="1">
      <c r="A992" s="9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4.25" customHeight="1">
      <c r="A993" s="9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4.25" customHeight="1">
      <c r="A994" s="9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4.25" customHeight="1">
      <c r="A995" s="9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4.25" customHeight="1">
      <c r="A996" s="9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4.25" customHeight="1">
      <c r="A997" s="9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4.25" customHeight="1">
      <c r="A998" s="9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4.25" customHeight="1">
      <c r="A999" s="9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4.25" customHeight="1">
      <c r="A1000" s="9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mergeCells count="68">
    <mergeCell ref="J27:L27"/>
    <mergeCell ref="M27:N27"/>
    <mergeCell ref="B26:D26"/>
    <mergeCell ref="E26:F26"/>
    <mergeCell ref="G26:H26"/>
    <mergeCell ref="J26:L26"/>
    <mergeCell ref="M26:N26"/>
    <mergeCell ref="O26:Q26"/>
    <mergeCell ref="B27:D27"/>
    <mergeCell ref="O27:Q27"/>
    <mergeCell ref="B48:B51"/>
    <mergeCell ref="B52:B55"/>
    <mergeCell ref="B56:B57"/>
    <mergeCell ref="B58:B59"/>
    <mergeCell ref="B60:B61"/>
    <mergeCell ref="E27:F27"/>
    <mergeCell ref="G27:H27"/>
    <mergeCell ref="B31:C31"/>
    <mergeCell ref="B32:B35"/>
    <mergeCell ref="B36:B39"/>
    <mergeCell ref="B40:B43"/>
    <mergeCell ref="B44:B47"/>
    <mergeCell ref="C3:D3"/>
    <mergeCell ref="G7:H7"/>
    <mergeCell ref="G8:H8"/>
    <mergeCell ref="G9:H9"/>
    <mergeCell ref="G10:H10"/>
    <mergeCell ref="G11:H11"/>
    <mergeCell ref="G12:H12"/>
    <mergeCell ref="M20:N20"/>
    <mergeCell ref="O20:Q20"/>
    <mergeCell ref="G13:H13"/>
    <mergeCell ref="G14:H14"/>
    <mergeCell ref="G15:H15"/>
    <mergeCell ref="B20:D20"/>
    <mergeCell ref="E20:F20"/>
    <mergeCell ref="G20:H20"/>
    <mergeCell ref="J20:L20"/>
    <mergeCell ref="J22:L22"/>
    <mergeCell ref="M22:N22"/>
    <mergeCell ref="J23:L23"/>
    <mergeCell ref="M23:N23"/>
    <mergeCell ref="O23:Q23"/>
    <mergeCell ref="J24:L24"/>
    <mergeCell ref="M24:N24"/>
    <mergeCell ref="O24:Q24"/>
    <mergeCell ref="B21:D21"/>
    <mergeCell ref="E21:F21"/>
    <mergeCell ref="G21:H21"/>
    <mergeCell ref="J21:L21"/>
    <mergeCell ref="M21:N21"/>
    <mergeCell ref="O21:Q21"/>
    <mergeCell ref="B22:D22"/>
    <mergeCell ref="O22:Q22"/>
    <mergeCell ref="B24:D24"/>
    <mergeCell ref="B25:D25"/>
    <mergeCell ref="E25:F25"/>
    <mergeCell ref="G25:H25"/>
    <mergeCell ref="J25:L25"/>
    <mergeCell ref="M25:N25"/>
    <mergeCell ref="O25:Q25"/>
    <mergeCell ref="E22:F22"/>
    <mergeCell ref="G22:H22"/>
    <mergeCell ref="B23:D23"/>
    <mergeCell ref="E23:F23"/>
    <mergeCell ref="G23:H23"/>
    <mergeCell ref="E24:F24"/>
    <mergeCell ref="G24:H24"/>
  </mergeCells>
  <dataValidations>
    <dataValidation type="list" allowBlank="1" showErrorMessage="1" sqref="F8">
      <formula1>$S$6:$S$18</formula1>
    </dataValidation>
    <dataValidation type="decimal" allowBlank="1" showErrorMessage="1" sqref="O1:P1">
      <formula1>1.0</formula1>
      <formula2>6.0</formula2>
    </dataValidation>
  </dataValidations>
  <printOptions/>
  <pageMargins bottom="0.1968503937007874" footer="0.0" header="0.0" left="0.3937007874015748" right="0.1968503937007874" top="0.1968503937007874"/>
  <pageSetup paperSize="9" scale="59" orientation="portrait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tabColor rgb="FF99CCFF"/>
    <pageSetUpPr/>
  </sheetPr>
  <sheetViews>
    <sheetView showGridLines="0" workbookViewId="0"/>
  </sheetViews>
  <sheetFormatPr customHeight="1" defaultColWidth="14.43" defaultRowHeight="15.0"/>
  <cols>
    <col customWidth="1" min="1" max="1" width="2.0"/>
    <col customWidth="1" min="2" max="2" width="13.14"/>
    <col customWidth="1" min="3" max="14" width="8.86"/>
    <col customWidth="1" hidden="1" min="15" max="15" width="8.86"/>
    <col customWidth="1" min="16" max="16" width="11.86"/>
    <col customWidth="1" min="17" max="17" width="2.14"/>
    <col customWidth="1" min="18" max="26" width="9.0"/>
  </cols>
  <sheetData>
    <row r="1" ht="21.75" customHeight="1">
      <c r="A1" s="118" t="s">
        <v>72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20" t="str">
        <f>IF(予定入力="","予算が確定されていません. 予定を入力し確定して下さい.","")</f>
        <v>予算が確定されていません. 予定を入力し確定して下さい.</v>
      </c>
      <c r="R1" s="2"/>
      <c r="S1" s="2"/>
      <c r="T1" s="2"/>
      <c r="U1" s="2"/>
      <c r="V1" s="2"/>
      <c r="W1" s="2"/>
      <c r="X1" s="2"/>
      <c r="Y1" s="2"/>
      <c r="Z1" s="2"/>
    </row>
    <row r="2" ht="14.25" customHeight="1">
      <c r="A2" s="9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21" t="str">
        <f>IF(COUNTIF(B8:B18,"")=ROWS(B8:B18),"[経費管理]シートでメンバー名を入力して下さい.","")</f>
        <v/>
      </c>
      <c r="Q2" s="2"/>
      <c r="R2" s="2"/>
      <c r="S2" s="2"/>
      <c r="T2" s="2"/>
      <c r="U2" s="2"/>
      <c r="V2" s="2"/>
      <c r="W2" s="2"/>
      <c r="X2" s="2"/>
      <c r="Y2" s="2"/>
      <c r="Z2" s="2"/>
    </row>
    <row r="3" ht="21.0" customHeight="1">
      <c r="A3" s="10"/>
      <c r="B3" s="2"/>
      <c r="C3" s="2"/>
      <c r="D3" s="2"/>
      <c r="E3" s="2"/>
      <c r="F3" s="2"/>
      <c r="G3" s="2"/>
      <c r="H3" s="2"/>
      <c r="I3" s="2"/>
      <c r="J3" s="2"/>
      <c r="K3" s="2"/>
      <c r="L3" s="80"/>
      <c r="M3" s="2"/>
      <c r="N3" s="2"/>
      <c r="O3" s="2"/>
      <c r="P3" s="81"/>
      <c r="Q3" s="2"/>
      <c r="R3" s="2"/>
      <c r="S3" s="2"/>
      <c r="T3" s="2"/>
      <c r="U3" s="2"/>
      <c r="V3" s="2"/>
      <c r="W3" s="2"/>
      <c r="X3" s="2"/>
      <c r="Y3" s="2"/>
      <c r="Z3" s="2"/>
    </row>
    <row r="4" ht="14.25" customHeight="1">
      <c r="A4" s="9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4.25" customHeight="1">
      <c r="A5" s="9"/>
      <c r="B5" s="122" t="s">
        <v>73</v>
      </c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2"/>
      <c r="R5" s="2"/>
      <c r="S5" s="2"/>
      <c r="T5" s="2"/>
      <c r="U5" s="2"/>
      <c r="V5" s="2"/>
      <c r="W5" s="2"/>
      <c r="X5" s="2"/>
      <c r="Y5" s="2"/>
      <c r="Z5" s="2"/>
    </row>
    <row r="6" ht="6.75" customHeight="1">
      <c r="A6" s="9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8.0" customHeight="1">
      <c r="A7" s="82"/>
      <c r="B7" s="124" t="s">
        <v>5</v>
      </c>
      <c r="C7" s="125">
        <f>'経費管理'!D31</f>
        <v>44830</v>
      </c>
      <c r="D7" s="125">
        <f>'経費管理'!E31</f>
        <v>44837</v>
      </c>
      <c r="E7" s="125">
        <f>'経費管理'!F31</f>
        <v>44851</v>
      </c>
      <c r="F7" s="125">
        <f>'経費管理'!G31</f>
        <v>44858</v>
      </c>
      <c r="G7" s="125">
        <f>'経費管理'!H31</f>
        <v>44865</v>
      </c>
      <c r="H7" s="125">
        <f>'経費管理'!I31</f>
        <v>44872</v>
      </c>
      <c r="I7" s="125">
        <f>'経費管理'!J31</f>
        <v>44879</v>
      </c>
      <c r="J7" s="125">
        <f>'経費管理'!K31</f>
        <v>44886</v>
      </c>
      <c r="K7" s="125">
        <f>'経費管理'!L31</f>
        <v>44893</v>
      </c>
      <c r="L7" s="125">
        <f>'経費管理'!M31</f>
        <v>44900</v>
      </c>
      <c r="M7" s="125">
        <f>'経費管理'!N31</f>
        <v>44907</v>
      </c>
      <c r="N7" s="125">
        <f>'経費管理'!O31</f>
        <v>44914</v>
      </c>
      <c r="O7" s="126"/>
      <c r="P7" s="127" t="s">
        <v>74</v>
      </c>
      <c r="Q7" s="36"/>
      <c r="R7" s="36"/>
      <c r="S7" s="36"/>
      <c r="T7" s="36"/>
      <c r="U7" s="36"/>
      <c r="V7" s="36"/>
      <c r="W7" s="36"/>
      <c r="X7" s="36"/>
      <c r="Y7" s="36"/>
      <c r="Z7" s="36"/>
    </row>
    <row r="8" ht="15.75" customHeight="1">
      <c r="A8" s="9"/>
      <c r="B8" s="128" t="str">
        <f>IF('経費管理'!G8&lt;&gt;"",'経費管理'!G8,"")</f>
        <v>池田</v>
      </c>
      <c r="C8" s="129">
        <v>400.0</v>
      </c>
      <c r="D8" s="130">
        <v>400.0</v>
      </c>
      <c r="E8" s="130">
        <v>0.0</v>
      </c>
      <c r="F8" s="130">
        <v>400.0</v>
      </c>
      <c r="G8" s="130">
        <v>400.0</v>
      </c>
      <c r="H8" s="130">
        <v>400.0</v>
      </c>
      <c r="I8" s="130">
        <v>400.0</v>
      </c>
      <c r="J8" s="130">
        <v>400.0</v>
      </c>
      <c r="K8" s="131"/>
      <c r="L8" s="131"/>
      <c r="M8" s="131"/>
      <c r="N8" s="132"/>
      <c r="O8" s="133"/>
      <c r="P8" s="134">
        <f t="shared" ref="P8:P18" si="1">SUM(C8:O8)</f>
        <v>2800</v>
      </c>
      <c r="Q8" s="2"/>
      <c r="R8" s="2"/>
      <c r="S8" s="2"/>
      <c r="T8" s="2"/>
      <c r="U8" s="2"/>
      <c r="V8" s="2"/>
      <c r="W8" s="2"/>
      <c r="X8" s="2"/>
      <c r="Y8" s="2"/>
      <c r="Z8" s="2"/>
    </row>
    <row r="9" ht="15.75" customHeight="1">
      <c r="A9" s="9"/>
      <c r="B9" s="128" t="str">
        <f>IF('経費管理'!G9&lt;&gt;"",'経費管理'!G9,"")</f>
        <v>瓜生</v>
      </c>
      <c r="C9" s="135">
        <v>0.0</v>
      </c>
      <c r="D9" s="136">
        <v>400.0</v>
      </c>
      <c r="E9" s="136">
        <v>400.0</v>
      </c>
      <c r="F9" s="136">
        <v>400.0</v>
      </c>
      <c r="G9" s="136">
        <v>400.0</v>
      </c>
      <c r="H9" s="136">
        <v>400.0</v>
      </c>
      <c r="I9" s="136">
        <v>400.0</v>
      </c>
      <c r="J9" s="136">
        <v>400.0</v>
      </c>
      <c r="K9" s="137"/>
      <c r="L9" s="137"/>
      <c r="M9" s="137"/>
      <c r="N9" s="138"/>
      <c r="O9" s="133"/>
      <c r="P9" s="134">
        <f t="shared" si="1"/>
        <v>2800</v>
      </c>
      <c r="Q9" s="2"/>
      <c r="R9" s="2"/>
      <c r="S9" s="2"/>
      <c r="T9" s="2"/>
      <c r="U9" s="2"/>
      <c r="V9" s="2"/>
      <c r="W9" s="2"/>
      <c r="X9" s="2"/>
      <c r="Y9" s="2"/>
      <c r="Z9" s="2"/>
    </row>
    <row r="10" ht="15.75" customHeight="1">
      <c r="A10" s="9"/>
      <c r="B10" s="128" t="str">
        <f>IF('経費管理'!G10&lt;&gt;"",'経費管理'!G10,"")</f>
        <v>江頭</v>
      </c>
      <c r="C10" s="135">
        <v>400.0</v>
      </c>
      <c r="D10" s="139">
        <v>400.0</v>
      </c>
      <c r="E10" s="139">
        <v>400.0</v>
      </c>
      <c r="F10" s="139">
        <v>400.0</v>
      </c>
      <c r="G10" s="139">
        <v>400.0</v>
      </c>
      <c r="H10" s="139">
        <v>400.0</v>
      </c>
      <c r="I10" s="139">
        <v>400.0</v>
      </c>
      <c r="J10" s="139">
        <v>400.0</v>
      </c>
      <c r="K10" s="140"/>
      <c r="L10" s="140"/>
      <c r="M10" s="140"/>
      <c r="N10" s="138"/>
      <c r="O10" s="133"/>
      <c r="P10" s="134">
        <f t="shared" si="1"/>
        <v>3200</v>
      </c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5.75" customHeight="1">
      <c r="A11" s="9"/>
      <c r="B11" s="128" t="str">
        <f>IF('経費管理'!G11&lt;&gt;"",'経費管理'!G11,"")</f>
        <v>唐川</v>
      </c>
      <c r="C11" s="135">
        <v>400.0</v>
      </c>
      <c r="D11" s="139">
        <v>400.0</v>
      </c>
      <c r="E11" s="139">
        <v>400.0</v>
      </c>
      <c r="F11" s="139">
        <v>400.0</v>
      </c>
      <c r="G11" s="139">
        <v>400.0</v>
      </c>
      <c r="H11" s="139">
        <v>400.0</v>
      </c>
      <c r="I11" s="139">
        <v>400.0</v>
      </c>
      <c r="J11" s="139">
        <v>400.0</v>
      </c>
      <c r="K11" s="140"/>
      <c r="L11" s="140"/>
      <c r="M11" s="140"/>
      <c r="N11" s="141"/>
      <c r="O11" s="133"/>
      <c r="P11" s="134">
        <f t="shared" si="1"/>
        <v>3200</v>
      </c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5.75" customHeight="1">
      <c r="A12" s="9"/>
      <c r="B12" s="128" t="str">
        <f>IF('経費管理'!G12&lt;&gt;"",'経費管理'!G12,"")</f>
        <v>仲山</v>
      </c>
      <c r="C12" s="135">
        <v>400.0</v>
      </c>
      <c r="D12" s="139">
        <v>400.0</v>
      </c>
      <c r="E12" s="139">
        <v>400.0</v>
      </c>
      <c r="F12" s="139">
        <v>400.0</v>
      </c>
      <c r="G12" s="139">
        <v>400.0</v>
      </c>
      <c r="H12" s="139">
        <v>400.0</v>
      </c>
      <c r="I12" s="139">
        <v>400.0</v>
      </c>
      <c r="J12" s="139">
        <v>400.0</v>
      </c>
      <c r="K12" s="140"/>
      <c r="L12" s="140"/>
      <c r="M12" s="140"/>
      <c r="N12" s="141"/>
      <c r="O12" s="142"/>
      <c r="P12" s="143">
        <f t="shared" si="1"/>
        <v>3200</v>
      </c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5.75" customHeight="1">
      <c r="A13" s="9"/>
      <c r="B13" s="128" t="str">
        <f>IF('経費管理'!G13&lt;&gt;"",'経費管理'!G13,"")</f>
        <v>鷲崎</v>
      </c>
      <c r="C13" s="135">
        <v>400.0</v>
      </c>
      <c r="D13" s="139">
        <v>400.0</v>
      </c>
      <c r="E13" s="139">
        <v>400.0</v>
      </c>
      <c r="F13" s="139">
        <v>400.0</v>
      </c>
      <c r="G13" s="139">
        <v>400.0</v>
      </c>
      <c r="H13" s="139">
        <v>400.0</v>
      </c>
      <c r="I13" s="139">
        <v>400.0</v>
      </c>
      <c r="J13" s="139">
        <v>400.0</v>
      </c>
      <c r="K13" s="140"/>
      <c r="L13" s="140"/>
      <c r="M13" s="140"/>
      <c r="N13" s="141"/>
      <c r="O13" s="142"/>
      <c r="P13" s="143">
        <f t="shared" si="1"/>
        <v>3200</v>
      </c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5.75" customHeight="1">
      <c r="A14" s="9"/>
      <c r="B14" s="128" t="str">
        <f>IF('経費管理'!G14&lt;&gt;"",'経費管理'!G14,"")</f>
        <v/>
      </c>
      <c r="C14" s="144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1"/>
      <c r="O14" s="142"/>
      <c r="P14" s="143">
        <f t="shared" si="1"/>
        <v>0</v>
      </c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5.75" customHeight="1">
      <c r="A15" s="9"/>
      <c r="B15" s="128" t="str">
        <f>IF('経費管理'!G15&lt;&gt;"",'経費管理'!G15,"")</f>
        <v/>
      </c>
      <c r="C15" s="145"/>
      <c r="D15" s="146"/>
      <c r="E15" s="146"/>
      <c r="F15" s="146"/>
      <c r="G15" s="146"/>
      <c r="H15" s="146"/>
      <c r="I15" s="146"/>
      <c r="J15" s="146"/>
      <c r="K15" s="146"/>
      <c r="L15" s="146"/>
      <c r="M15" s="140"/>
      <c r="N15" s="147"/>
      <c r="O15" s="142"/>
      <c r="P15" s="143">
        <f t="shared" si="1"/>
        <v>0</v>
      </c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5.75" customHeight="1">
      <c r="A16" s="9"/>
      <c r="B16" s="148" t="s">
        <v>75</v>
      </c>
      <c r="C16" s="149"/>
      <c r="D16" s="150"/>
      <c r="E16" s="150"/>
      <c r="F16" s="150"/>
      <c r="G16" s="150"/>
      <c r="H16" s="150"/>
      <c r="I16" s="150"/>
      <c r="J16" s="150"/>
      <c r="K16" s="150"/>
      <c r="L16" s="150"/>
      <c r="M16" s="150"/>
      <c r="N16" s="151"/>
      <c r="O16" s="152"/>
      <c r="P16" s="153">
        <f t="shared" si="1"/>
        <v>0</v>
      </c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5.75" hidden="1" customHeight="1">
      <c r="A17" s="9"/>
      <c r="B17" s="148"/>
      <c r="C17" s="154"/>
      <c r="D17" s="155"/>
      <c r="E17" s="155"/>
      <c r="F17" s="155"/>
      <c r="G17" s="155"/>
      <c r="H17" s="155"/>
      <c r="I17" s="155"/>
      <c r="J17" s="155"/>
      <c r="K17" s="155"/>
      <c r="L17" s="155"/>
      <c r="M17" s="155"/>
      <c r="N17" s="156"/>
      <c r="O17" s="155"/>
      <c r="P17" s="157">
        <f t="shared" si="1"/>
        <v>0</v>
      </c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5.75" hidden="1" customHeight="1">
      <c r="A18" s="9"/>
      <c r="B18" s="148"/>
      <c r="C18" s="158"/>
      <c r="D18" s="159"/>
      <c r="E18" s="159"/>
      <c r="F18" s="159"/>
      <c r="G18" s="159"/>
      <c r="H18" s="159"/>
      <c r="I18" s="159"/>
      <c r="J18" s="159"/>
      <c r="K18" s="159"/>
      <c r="L18" s="159"/>
      <c r="M18" s="159"/>
      <c r="N18" s="160"/>
      <c r="O18" s="140"/>
      <c r="P18" s="143">
        <f t="shared" si="1"/>
        <v>0</v>
      </c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8.0" customHeight="1">
      <c r="A19" s="9"/>
      <c r="B19" s="161" t="s">
        <v>53</v>
      </c>
      <c r="C19" s="162">
        <f t="shared" ref="C19:P19" si="2">SUM(C8:C18)</f>
        <v>2000</v>
      </c>
      <c r="D19" s="162">
        <f t="shared" si="2"/>
        <v>2400</v>
      </c>
      <c r="E19" s="162">
        <f t="shared" si="2"/>
        <v>2000</v>
      </c>
      <c r="F19" s="162">
        <f t="shared" si="2"/>
        <v>2400</v>
      </c>
      <c r="G19" s="162">
        <f t="shared" si="2"/>
        <v>2400</v>
      </c>
      <c r="H19" s="162">
        <f t="shared" si="2"/>
        <v>2400</v>
      </c>
      <c r="I19" s="162">
        <f t="shared" si="2"/>
        <v>2400</v>
      </c>
      <c r="J19" s="162">
        <f t="shared" si="2"/>
        <v>2400</v>
      </c>
      <c r="K19" s="162">
        <f t="shared" si="2"/>
        <v>0</v>
      </c>
      <c r="L19" s="162">
        <f t="shared" si="2"/>
        <v>0</v>
      </c>
      <c r="M19" s="162">
        <f t="shared" si="2"/>
        <v>0</v>
      </c>
      <c r="N19" s="162">
        <f t="shared" si="2"/>
        <v>0</v>
      </c>
      <c r="O19" s="163">
        <f t="shared" si="2"/>
        <v>0</v>
      </c>
      <c r="P19" s="143">
        <f t="shared" si="2"/>
        <v>18400</v>
      </c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4.25" customHeight="1">
      <c r="A20" s="9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4.25" customHeight="1">
      <c r="A21" s="9"/>
      <c r="B21" s="122" t="s">
        <v>76</v>
      </c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6.75" customHeight="1">
      <c r="A22" s="9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8.0" customHeight="1">
      <c r="A23" s="82"/>
      <c r="B23" s="124" t="s">
        <v>5</v>
      </c>
      <c r="C23" s="125">
        <f t="shared" ref="C23:N23" si="3">C7</f>
        <v>44830</v>
      </c>
      <c r="D23" s="125">
        <f t="shared" si="3"/>
        <v>44837</v>
      </c>
      <c r="E23" s="125">
        <f t="shared" si="3"/>
        <v>44851</v>
      </c>
      <c r="F23" s="125">
        <f t="shared" si="3"/>
        <v>44858</v>
      </c>
      <c r="G23" s="125">
        <f t="shared" si="3"/>
        <v>44865</v>
      </c>
      <c r="H23" s="125">
        <f t="shared" si="3"/>
        <v>44872</v>
      </c>
      <c r="I23" s="125">
        <f t="shared" si="3"/>
        <v>44879</v>
      </c>
      <c r="J23" s="125">
        <f t="shared" si="3"/>
        <v>44886</v>
      </c>
      <c r="K23" s="125">
        <f t="shared" si="3"/>
        <v>44893</v>
      </c>
      <c r="L23" s="125">
        <f t="shared" si="3"/>
        <v>44900</v>
      </c>
      <c r="M23" s="125">
        <f t="shared" si="3"/>
        <v>44907</v>
      </c>
      <c r="N23" s="125">
        <f t="shared" si="3"/>
        <v>44914</v>
      </c>
      <c r="O23" s="126"/>
      <c r="P23" s="127" t="s">
        <v>74</v>
      </c>
      <c r="Q23" s="36"/>
      <c r="R23" s="36"/>
      <c r="S23" s="36"/>
      <c r="T23" s="36"/>
      <c r="U23" s="36"/>
      <c r="V23" s="36"/>
      <c r="W23" s="36"/>
      <c r="X23" s="36"/>
      <c r="Y23" s="36"/>
      <c r="Z23" s="36"/>
    </row>
    <row r="24" ht="15.75" customHeight="1">
      <c r="A24" s="9"/>
      <c r="B24" s="128" t="str">
        <f t="shared" ref="B24:B31" si="4">IF(B8&lt;&gt;"",B8,"")</f>
        <v>池田</v>
      </c>
      <c r="C24" s="164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65"/>
      <c r="O24" s="142"/>
      <c r="P24" s="166">
        <f t="shared" ref="P24:P34" si="5">SUM(C24:O24)</f>
        <v>0</v>
      </c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9"/>
      <c r="B25" s="128" t="str">
        <f t="shared" si="4"/>
        <v>瓜生</v>
      </c>
      <c r="C25" s="144"/>
      <c r="D25" s="140"/>
      <c r="E25" s="140"/>
      <c r="F25" s="140"/>
      <c r="G25" s="140"/>
      <c r="H25" s="140"/>
      <c r="I25" s="140"/>
      <c r="J25" s="139">
        <v>1.0</v>
      </c>
      <c r="K25" s="140"/>
      <c r="L25" s="140"/>
      <c r="M25" s="140"/>
      <c r="N25" s="167"/>
      <c r="O25" s="142"/>
      <c r="P25" s="166">
        <f t="shared" si="5"/>
        <v>1</v>
      </c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9"/>
      <c r="B26" s="128" t="str">
        <f t="shared" si="4"/>
        <v>江頭</v>
      </c>
      <c r="C26" s="144"/>
      <c r="D26" s="140"/>
      <c r="E26" s="140"/>
      <c r="F26" s="140"/>
      <c r="G26" s="140"/>
      <c r="H26" s="139">
        <v>1.0</v>
      </c>
      <c r="I26" s="140"/>
      <c r="J26" s="139">
        <v>1.0</v>
      </c>
      <c r="K26" s="140"/>
      <c r="L26" s="140"/>
      <c r="M26" s="140"/>
      <c r="N26" s="167"/>
      <c r="O26" s="142"/>
      <c r="P26" s="166">
        <f t="shared" si="5"/>
        <v>2</v>
      </c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9"/>
      <c r="B27" s="128" t="str">
        <f t="shared" si="4"/>
        <v>唐川</v>
      </c>
      <c r="C27" s="144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67"/>
      <c r="O27" s="142"/>
      <c r="P27" s="166">
        <f t="shared" si="5"/>
        <v>0</v>
      </c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9"/>
      <c r="B28" s="128" t="str">
        <f t="shared" si="4"/>
        <v>仲山</v>
      </c>
      <c r="C28" s="144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67"/>
      <c r="O28" s="142"/>
      <c r="P28" s="166">
        <f t="shared" si="5"/>
        <v>0</v>
      </c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9"/>
      <c r="B29" s="128" t="str">
        <f t="shared" si="4"/>
        <v>鷲崎</v>
      </c>
      <c r="C29" s="144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67"/>
      <c r="O29" s="142"/>
      <c r="P29" s="166">
        <f t="shared" si="5"/>
        <v>0</v>
      </c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9"/>
      <c r="B30" s="128" t="str">
        <f t="shared" si="4"/>
        <v/>
      </c>
      <c r="C30" s="144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67"/>
      <c r="O30" s="142"/>
      <c r="P30" s="166">
        <f t="shared" si="5"/>
        <v>0</v>
      </c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9"/>
      <c r="B31" s="128" t="str">
        <f t="shared" si="4"/>
        <v/>
      </c>
      <c r="C31" s="158"/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68"/>
      <c r="O31" s="142"/>
      <c r="P31" s="166">
        <f t="shared" si="5"/>
        <v>0</v>
      </c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hidden="1" customHeight="1">
      <c r="A32" s="9"/>
      <c r="B32" s="148"/>
      <c r="C32" s="154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69"/>
      <c r="O32" s="142"/>
      <c r="P32" s="166">
        <f t="shared" si="5"/>
        <v>0</v>
      </c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hidden="1" customHeight="1">
      <c r="A33" s="9"/>
      <c r="B33" s="148"/>
      <c r="C33" s="144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67"/>
      <c r="O33" s="142"/>
      <c r="P33" s="166">
        <f t="shared" si="5"/>
        <v>0</v>
      </c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hidden="1" customHeight="1">
      <c r="A34" s="9"/>
      <c r="B34" s="148"/>
      <c r="C34" s="158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70"/>
      <c r="O34" s="142"/>
      <c r="P34" s="166">
        <f t="shared" si="5"/>
        <v>0</v>
      </c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8.0" customHeight="1">
      <c r="A35" s="9"/>
      <c r="B35" s="161" t="s">
        <v>53</v>
      </c>
      <c r="C35" s="162">
        <f t="shared" ref="C35:P35" si="6">SUM(C24:C34)</f>
        <v>0</v>
      </c>
      <c r="D35" s="162">
        <f t="shared" si="6"/>
        <v>0</v>
      </c>
      <c r="E35" s="162">
        <f t="shared" si="6"/>
        <v>0</v>
      </c>
      <c r="F35" s="162">
        <f t="shared" si="6"/>
        <v>0</v>
      </c>
      <c r="G35" s="162">
        <f t="shared" si="6"/>
        <v>0</v>
      </c>
      <c r="H35" s="162">
        <f t="shared" si="6"/>
        <v>1</v>
      </c>
      <c r="I35" s="162">
        <f t="shared" si="6"/>
        <v>0</v>
      </c>
      <c r="J35" s="162">
        <f t="shared" si="6"/>
        <v>2</v>
      </c>
      <c r="K35" s="162">
        <f t="shared" si="6"/>
        <v>0</v>
      </c>
      <c r="L35" s="162">
        <f t="shared" si="6"/>
        <v>0</v>
      </c>
      <c r="M35" s="162">
        <f t="shared" si="6"/>
        <v>0</v>
      </c>
      <c r="N35" s="162">
        <f t="shared" si="6"/>
        <v>0</v>
      </c>
      <c r="O35" s="163">
        <f t="shared" si="6"/>
        <v>0</v>
      </c>
      <c r="P35" s="166">
        <f t="shared" si="6"/>
        <v>3</v>
      </c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4.25" customHeight="1">
      <c r="A36" s="9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21.0" hidden="1" customHeight="1">
      <c r="A37" s="10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4.25" hidden="1" customHeight="1">
      <c r="A38" s="9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4.25" hidden="1" customHeight="1">
      <c r="A39" s="9"/>
      <c r="B39" s="122" t="s">
        <v>77</v>
      </c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6.75" hidden="1" customHeight="1">
      <c r="A40" s="9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8.0" hidden="1" customHeight="1">
      <c r="A41" s="82"/>
      <c r="B41" s="124" t="s">
        <v>78</v>
      </c>
      <c r="C41" s="125">
        <f t="shared" ref="C41:N41" si="7">C7</f>
        <v>44830</v>
      </c>
      <c r="D41" s="125">
        <f t="shared" si="7"/>
        <v>44837</v>
      </c>
      <c r="E41" s="125">
        <f t="shared" si="7"/>
        <v>44851</v>
      </c>
      <c r="F41" s="125">
        <f t="shared" si="7"/>
        <v>44858</v>
      </c>
      <c r="G41" s="125">
        <f t="shared" si="7"/>
        <v>44865</v>
      </c>
      <c r="H41" s="125">
        <f t="shared" si="7"/>
        <v>44872</v>
      </c>
      <c r="I41" s="125">
        <f t="shared" si="7"/>
        <v>44879</v>
      </c>
      <c r="J41" s="125">
        <f t="shared" si="7"/>
        <v>44886</v>
      </c>
      <c r="K41" s="125">
        <f t="shared" si="7"/>
        <v>44893</v>
      </c>
      <c r="L41" s="125">
        <f t="shared" si="7"/>
        <v>44900</v>
      </c>
      <c r="M41" s="125">
        <f t="shared" si="7"/>
        <v>44907</v>
      </c>
      <c r="N41" s="125">
        <f t="shared" si="7"/>
        <v>44914</v>
      </c>
      <c r="O41" s="126"/>
      <c r="P41" s="127" t="s">
        <v>74</v>
      </c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hidden="1" customHeight="1">
      <c r="A42" s="9"/>
      <c r="B42" s="128" t="s">
        <v>79</v>
      </c>
      <c r="C42" s="164"/>
      <c r="D42" s="131"/>
      <c r="E42" s="131"/>
      <c r="F42" s="131"/>
      <c r="G42" s="131"/>
      <c r="H42" s="131"/>
      <c r="I42" s="131"/>
      <c r="J42" s="131"/>
      <c r="K42" s="131"/>
      <c r="L42" s="131"/>
      <c r="M42" s="131"/>
      <c r="N42" s="171"/>
      <c r="O42" s="140"/>
      <c r="P42" s="166">
        <f t="shared" ref="P42:P45" si="8">SUM(C42:O42)</f>
        <v>0</v>
      </c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hidden="1" customHeight="1">
      <c r="A43" s="9"/>
      <c r="B43" s="128" t="s">
        <v>80</v>
      </c>
      <c r="C43" s="144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72"/>
      <c r="O43" s="140"/>
      <c r="P43" s="166">
        <f t="shared" si="8"/>
        <v>0</v>
      </c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hidden="1" customHeight="1">
      <c r="A44" s="9"/>
      <c r="B44" s="128" t="s">
        <v>81</v>
      </c>
      <c r="C44" s="158"/>
      <c r="D44" s="159"/>
      <c r="E44" s="159"/>
      <c r="F44" s="159"/>
      <c r="G44" s="159"/>
      <c r="H44" s="159"/>
      <c r="I44" s="159"/>
      <c r="J44" s="159"/>
      <c r="K44" s="159"/>
      <c r="L44" s="159"/>
      <c r="M44" s="159"/>
      <c r="N44" s="160"/>
      <c r="O44" s="140"/>
      <c r="P44" s="166">
        <f t="shared" si="8"/>
        <v>0</v>
      </c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hidden="1" customHeight="1">
      <c r="A45" s="9"/>
      <c r="B45" s="128" t="s">
        <v>75</v>
      </c>
      <c r="C45" s="149"/>
      <c r="D45" s="150"/>
      <c r="E45" s="150">
        <v>0.0</v>
      </c>
      <c r="F45" s="150"/>
      <c r="G45" s="150"/>
      <c r="H45" s="150"/>
      <c r="I45" s="150"/>
      <c r="J45" s="150"/>
      <c r="K45" s="150"/>
      <c r="L45" s="150"/>
      <c r="M45" s="150"/>
      <c r="N45" s="173"/>
      <c r="O45" s="140"/>
      <c r="P45" s="143">
        <f t="shared" si="8"/>
        <v>0</v>
      </c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4.25" hidden="1" customHeight="1">
      <c r="A46" s="9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4.25" customHeight="1">
      <c r="A47" s="9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4.25" customHeight="1">
      <c r="A48" s="9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4.25" customHeight="1">
      <c r="A49" s="9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4.25" customHeight="1">
      <c r="A50" s="9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4.25" customHeight="1">
      <c r="A51" s="9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4.25" customHeight="1">
      <c r="A52" s="9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4.25" customHeight="1">
      <c r="A53" s="9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4.25" customHeight="1">
      <c r="A54" s="9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4.25" customHeight="1">
      <c r="A55" s="9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4.25" customHeight="1">
      <c r="A56" s="9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4.25" customHeight="1">
      <c r="A57" s="9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4.25" customHeight="1">
      <c r="A58" s="9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4.25" customHeight="1">
      <c r="A59" s="9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4.25" customHeight="1">
      <c r="A60" s="9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4.25" customHeight="1">
      <c r="A61" s="9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4.25" customHeight="1">
      <c r="A62" s="9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4.25" customHeight="1">
      <c r="A63" s="9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4.25" customHeight="1">
      <c r="A64" s="9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4.25" customHeight="1">
      <c r="A65" s="9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4.25" customHeight="1">
      <c r="A66" s="9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4.25" customHeight="1">
      <c r="A67" s="9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4.25" customHeight="1">
      <c r="A68" s="9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4.25" customHeight="1">
      <c r="A69" s="9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4.25" customHeight="1">
      <c r="A70" s="9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4.25" customHeight="1">
      <c r="A71" s="9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4.25" customHeight="1">
      <c r="A72" s="9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4.25" customHeight="1">
      <c r="A73" s="9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4.25" customHeight="1">
      <c r="A74" s="9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4.25" customHeight="1">
      <c r="A75" s="9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4.25" customHeight="1">
      <c r="A76" s="9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4.25" customHeight="1">
      <c r="A77" s="9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4.25" customHeight="1">
      <c r="A78" s="9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4.25" customHeight="1">
      <c r="A79" s="9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4.25" customHeight="1">
      <c r="A80" s="9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4.25" customHeight="1">
      <c r="A81" s="9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4.25" customHeight="1">
      <c r="A82" s="9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4.25" customHeight="1">
      <c r="A83" s="9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4.25" customHeight="1">
      <c r="A84" s="9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4.25" customHeight="1">
      <c r="A85" s="9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4.25" customHeight="1">
      <c r="A86" s="9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4.25" customHeight="1">
      <c r="A87" s="9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4.25" customHeight="1">
      <c r="A88" s="9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4.25" customHeight="1">
      <c r="A89" s="9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4.25" customHeight="1">
      <c r="A90" s="9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4.25" customHeight="1">
      <c r="A91" s="9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4.25" customHeight="1">
      <c r="A92" s="9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4.25" customHeight="1">
      <c r="A93" s="9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4.25" customHeight="1">
      <c r="A94" s="9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4.25" customHeight="1">
      <c r="A95" s="9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4.25" customHeight="1">
      <c r="A96" s="9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4.25" customHeight="1">
      <c r="A97" s="9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4.25" customHeight="1">
      <c r="A98" s="9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4.25" customHeight="1">
      <c r="A99" s="9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4.25" customHeight="1">
      <c r="A100" s="9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4.25" customHeight="1">
      <c r="A101" s="9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4.25" customHeight="1">
      <c r="A102" s="9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4.25" customHeight="1">
      <c r="A103" s="9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4.25" customHeight="1">
      <c r="A104" s="9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4.25" customHeight="1">
      <c r="A105" s="9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4.25" customHeight="1">
      <c r="A106" s="9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4.25" customHeight="1">
      <c r="A107" s="9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4.25" customHeight="1">
      <c r="A108" s="9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4.25" customHeight="1">
      <c r="A109" s="9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4.25" customHeight="1">
      <c r="A110" s="9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4.25" customHeight="1">
      <c r="A111" s="9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4.25" customHeight="1">
      <c r="A112" s="9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4.25" customHeight="1">
      <c r="A113" s="9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4.25" customHeight="1">
      <c r="A114" s="9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4.25" customHeight="1">
      <c r="A115" s="9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4.25" customHeight="1">
      <c r="A116" s="9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4.25" customHeight="1">
      <c r="A117" s="9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4.25" customHeight="1">
      <c r="A118" s="9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4.25" customHeight="1">
      <c r="A119" s="9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4.25" customHeight="1">
      <c r="A120" s="9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4.25" customHeight="1">
      <c r="A121" s="9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4.25" customHeight="1">
      <c r="A122" s="9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4.25" customHeight="1">
      <c r="A123" s="9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4.25" customHeight="1">
      <c r="A124" s="9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4.25" customHeight="1">
      <c r="A125" s="9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4.25" customHeight="1">
      <c r="A126" s="9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4.25" customHeight="1">
      <c r="A127" s="9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4.25" customHeight="1">
      <c r="A128" s="9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4.25" customHeight="1">
      <c r="A129" s="9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4.25" customHeight="1">
      <c r="A130" s="9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4.25" customHeight="1">
      <c r="A131" s="9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4.25" customHeight="1">
      <c r="A132" s="9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4.25" customHeight="1">
      <c r="A133" s="9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4.25" customHeight="1">
      <c r="A134" s="9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4.25" customHeight="1">
      <c r="A135" s="9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4.25" customHeight="1">
      <c r="A136" s="9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4.25" customHeight="1">
      <c r="A137" s="9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4.25" customHeight="1">
      <c r="A138" s="9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4.25" customHeight="1">
      <c r="A139" s="9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4.25" customHeight="1">
      <c r="A140" s="9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4.25" customHeight="1">
      <c r="A141" s="9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4.25" customHeight="1">
      <c r="A142" s="9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4.25" customHeight="1">
      <c r="A143" s="9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4.25" customHeight="1">
      <c r="A144" s="9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4.25" customHeight="1">
      <c r="A145" s="9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4.25" customHeight="1">
      <c r="A146" s="9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4.25" customHeight="1">
      <c r="A147" s="9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4.25" customHeight="1">
      <c r="A148" s="9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4.25" customHeight="1">
      <c r="A149" s="9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4.25" customHeight="1">
      <c r="A150" s="9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4.25" customHeight="1">
      <c r="A151" s="9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4.25" customHeight="1">
      <c r="A152" s="9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4.25" customHeight="1">
      <c r="A153" s="9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4.25" customHeight="1">
      <c r="A154" s="9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4.25" customHeight="1">
      <c r="A155" s="9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4.25" customHeight="1">
      <c r="A156" s="9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4.25" customHeight="1">
      <c r="A157" s="9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4.25" customHeight="1">
      <c r="A158" s="9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4.25" customHeight="1">
      <c r="A159" s="9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4.25" customHeight="1">
      <c r="A160" s="9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4.25" customHeight="1">
      <c r="A161" s="9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4.25" customHeight="1">
      <c r="A162" s="9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4.25" customHeight="1">
      <c r="A163" s="9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4.25" customHeight="1">
      <c r="A164" s="9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4.25" customHeight="1">
      <c r="A165" s="9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4.25" customHeight="1">
      <c r="A166" s="9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4.25" customHeight="1">
      <c r="A167" s="9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4.25" customHeight="1">
      <c r="A168" s="9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4.25" customHeight="1">
      <c r="A169" s="9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4.25" customHeight="1">
      <c r="A170" s="9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4.25" customHeight="1">
      <c r="A171" s="9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4.25" customHeight="1">
      <c r="A172" s="9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4.25" customHeight="1">
      <c r="A173" s="9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4.25" customHeight="1">
      <c r="A174" s="9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4.25" customHeight="1">
      <c r="A175" s="9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4.25" customHeight="1">
      <c r="A176" s="9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4.25" customHeight="1">
      <c r="A177" s="9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4.25" customHeight="1">
      <c r="A178" s="9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4.25" customHeight="1">
      <c r="A179" s="9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4.25" customHeight="1">
      <c r="A180" s="9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4.25" customHeight="1">
      <c r="A181" s="9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4.25" customHeight="1">
      <c r="A182" s="9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4.25" customHeight="1">
      <c r="A183" s="9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4.25" customHeight="1">
      <c r="A184" s="9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4.25" customHeight="1">
      <c r="A185" s="9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4.25" customHeight="1">
      <c r="A186" s="9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4.25" customHeight="1">
      <c r="A187" s="9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4.25" customHeight="1">
      <c r="A188" s="9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4.25" customHeight="1">
      <c r="A189" s="9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4.25" customHeight="1">
      <c r="A190" s="9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4.25" customHeight="1">
      <c r="A191" s="9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4.25" customHeight="1">
      <c r="A192" s="9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4.25" customHeight="1">
      <c r="A193" s="9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4.25" customHeight="1">
      <c r="A194" s="9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4.25" customHeight="1">
      <c r="A195" s="9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4.25" customHeight="1">
      <c r="A196" s="9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4.25" customHeight="1">
      <c r="A197" s="9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4.25" customHeight="1">
      <c r="A198" s="9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4.25" customHeight="1">
      <c r="A199" s="9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4.25" customHeight="1">
      <c r="A200" s="9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4.25" customHeight="1">
      <c r="A201" s="9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4.25" customHeight="1">
      <c r="A202" s="9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4.25" customHeight="1">
      <c r="A203" s="9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4.25" customHeight="1">
      <c r="A204" s="9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4.25" customHeight="1">
      <c r="A205" s="9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4.25" customHeight="1">
      <c r="A206" s="9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4.25" customHeight="1">
      <c r="A207" s="9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4.25" customHeight="1">
      <c r="A208" s="9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4.25" customHeight="1">
      <c r="A209" s="9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4.25" customHeight="1">
      <c r="A210" s="9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4.25" customHeight="1">
      <c r="A211" s="9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4.25" customHeight="1">
      <c r="A212" s="9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4.25" customHeight="1">
      <c r="A213" s="9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4.25" customHeight="1">
      <c r="A214" s="9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4.25" customHeight="1">
      <c r="A215" s="9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4.25" customHeight="1">
      <c r="A216" s="9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4.25" customHeight="1">
      <c r="A217" s="9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4.25" customHeight="1">
      <c r="A218" s="9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4.25" customHeight="1">
      <c r="A219" s="9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4.25" customHeight="1">
      <c r="A220" s="9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4.25" customHeight="1">
      <c r="A221" s="9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4.25" customHeight="1">
      <c r="A222" s="9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4.25" customHeight="1">
      <c r="A223" s="9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4.25" customHeight="1">
      <c r="A224" s="9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4.25" customHeight="1">
      <c r="A225" s="9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4.25" customHeight="1">
      <c r="A226" s="9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4.25" customHeight="1">
      <c r="A227" s="9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4.25" customHeight="1">
      <c r="A228" s="9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4.25" customHeight="1">
      <c r="A229" s="9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4.25" customHeight="1">
      <c r="A230" s="9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4.25" customHeight="1">
      <c r="A231" s="9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4.25" customHeight="1">
      <c r="A232" s="9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4.25" customHeight="1">
      <c r="A233" s="9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4.25" customHeight="1">
      <c r="A234" s="9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4.25" customHeight="1">
      <c r="A235" s="9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4.25" customHeight="1">
      <c r="A236" s="9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4.25" customHeight="1">
      <c r="A237" s="9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4.25" customHeight="1">
      <c r="A238" s="9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4.25" customHeight="1">
      <c r="A239" s="9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4.25" customHeight="1">
      <c r="A240" s="9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4.25" customHeight="1">
      <c r="A241" s="9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4.25" customHeight="1">
      <c r="A242" s="9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4.25" customHeight="1">
      <c r="A243" s="9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4.25" customHeight="1">
      <c r="A244" s="9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4.25" customHeight="1">
      <c r="A245" s="9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4.25" customHeight="1">
      <c r="A246" s="9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4.25" customHeight="1">
      <c r="A247" s="9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4.25" customHeight="1">
      <c r="A248" s="9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4.25" customHeight="1">
      <c r="A249" s="9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4.25" customHeight="1">
      <c r="A250" s="9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4.25" customHeight="1">
      <c r="A251" s="9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4.25" customHeight="1">
      <c r="A252" s="9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4.25" customHeight="1">
      <c r="A253" s="9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4.25" customHeight="1">
      <c r="A254" s="9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4.25" customHeight="1">
      <c r="A255" s="9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4.25" customHeight="1">
      <c r="A256" s="9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4.25" customHeight="1">
      <c r="A257" s="9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4.25" customHeight="1">
      <c r="A258" s="9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4.25" customHeight="1">
      <c r="A259" s="9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4.25" customHeight="1">
      <c r="A260" s="9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4.25" customHeight="1">
      <c r="A261" s="9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4.25" customHeight="1">
      <c r="A262" s="9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4.25" customHeight="1">
      <c r="A263" s="9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4.25" customHeight="1">
      <c r="A264" s="9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4.25" customHeight="1">
      <c r="A265" s="9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4.25" customHeight="1">
      <c r="A266" s="9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4.25" customHeight="1">
      <c r="A267" s="9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4.25" customHeight="1">
      <c r="A268" s="9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4.25" customHeight="1">
      <c r="A269" s="9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4.25" customHeight="1">
      <c r="A270" s="9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4.25" customHeight="1">
      <c r="A271" s="9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4.25" customHeight="1">
      <c r="A272" s="9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4.25" customHeight="1">
      <c r="A273" s="9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4.25" customHeight="1">
      <c r="A274" s="9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4.25" customHeight="1">
      <c r="A275" s="9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4.25" customHeight="1">
      <c r="A276" s="9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4.25" customHeight="1">
      <c r="A277" s="9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4.25" customHeight="1">
      <c r="A278" s="9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4.25" customHeight="1">
      <c r="A279" s="9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4.25" customHeight="1">
      <c r="A280" s="9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4.25" customHeight="1">
      <c r="A281" s="9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4.25" customHeight="1">
      <c r="A282" s="9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4.25" customHeight="1">
      <c r="A283" s="9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4.25" customHeight="1">
      <c r="A284" s="9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4.25" customHeight="1">
      <c r="A285" s="9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4.25" customHeight="1">
      <c r="A286" s="9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4.25" customHeight="1">
      <c r="A287" s="9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4.25" customHeight="1">
      <c r="A288" s="9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4.25" customHeight="1">
      <c r="A289" s="9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4.25" customHeight="1">
      <c r="A290" s="9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4.25" customHeight="1">
      <c r="A291" s="9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4.25" customHeight="1">
      <c r="A292" s="9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4.25" customHeight="1">
      <c r="A293" s="9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4.25" customHeight="1">
      <c r="A294" s="9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4.25" customHeight="1">
      <c r="A295" s="9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4.25" customHeight="1">
      <c r="A296" s="9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4.25" customHeight="1">
      <c r="A297" s="9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4.25" customHeight="1">
      <c r="A298" s="9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4.25" customHeight="1">
      <c r="A299" s="9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4.25" customHeight="1">
      <c r="A300" s="9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4.25" customHeight="1">
      <c r="A301" s="9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4.25" customHeight="1">
      <c r="A302" s="9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4.25" customHeight="1">
      <c r="A303" s="9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4.25" customHeight="1">
      <c r="A304" s="9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4.25" customHeight="1">
      <c r="A305" s="9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4.25" customHeight="1">
      <c r="A306" s="9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4.25" customHeight="1">
      <c r="A307" s="9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4.25" customHeight="1">
      <c r="A308" s="9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4.25" customHeight="1">
      <c r="A309" s="9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4.25" customHeight="1">
      <c r="A310" s="9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4.25" customHeight="1">
      <c r="A311" s="9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4.25" customHeight="1">
      <c r="A312" s="9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4.25" customHeight="1">
      <c r="A313" s="9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4.25" customHeight="1">
      <c r="A314" s="9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4.25" customHeight="1">
      <c r="A315" s="9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4.25" customHeight="1">
      <c r="A316" s="9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4.25" customHeight="1">
      <c r="A317" s="9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4.25" customHeight="1">
      <c r="A318" s="9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4.25" customHeight="1">
      <c r="A319" s="9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4.25" customHeight="1">
      <c r="A320" s="9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4.25" customHeight="1">
      <c r="A321" s="9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4.25" customHeight="1">
      <c r="A322" s="9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4.25" customHeight="1">
      <c r="A323" s="9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4.25" customHeight="1">
      <c r="A324" s="9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4.25" customHeight="1">
      <c r="A325" s="9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4.25" customHeight="1">
      <c r="A326" s="9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4.25" customHeight="1">
      <c r="A327" s="9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4.25" customHeight="1">
      <c r="A328" s="9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4.25" customHeight="1">
      <c r="A329" s="9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4.25" customHeight="1">
      <c r="A330" s="9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4.25" customHeight="1">
      <c r="A331" s="9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4.25" customHeight="1">
      <c r="A332" s="9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4.25" customHeight="1">
      <c r="A333" s="9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4.25" customHeight="1">
      <c r="A334" s="9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4.25" customHeight="1">
      <c r="A335" s="9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4.25" customHeight="1">
      <c r="A336" s="9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4.25" customHeight="1">
      <c r="A337" s="9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4.25" customHeight="1">
      <c r="A338" s="9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4.25" customHeight="1">
      <c r="A339" s="9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4.25" customHeight="1">
      <c r="A340" s="9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4.25" customHeight="1">
      <c r="A341" s="9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4.25" customHeight="1">
      <c r="A342" s="9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4.25" customHeight="1">
      <c r="A343" s="9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4.25" customHeight="1">
      <c r="A344" s="9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4.25" customHeight="1">
      <c r="A345" s="9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4.25" customHeight="1">
      <c r="A346" s="9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4.25" customHeight="1">
      <c r="A347" s="9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4.25" customHeight="1">
      <c r="A348" s="9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4.25" customHeight="1">
      <c r="A349" s="9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4.25" customHeight="1">
      <c r="A350" s="9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4.25" customHeight="1">
      <c r="A351" s="9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4.25" customHeight="1">
      <c r="A352" s="9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4.25" customHeight="1">
      <c r="A353" s="9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4.25" customHeight="1">
      <c r="A354" s="9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4.25" customHeight="1">
      <c r="A355" s="9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4.25" customHeight="1">
      <c r="A356" s="9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4.25" customHeight="1">
      <c r="A357" s="9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4.25" customHeight="1">
      <c r="A358" s="9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4.25" customHeight="1">
      <c r="A359" s="9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4.25" customHeight="1">
      <c r="A360" s="9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4.25" customHeight="1">
      <c r="A361" s="9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4.25" customHeight="1">
      <c r="A362" s="9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4.25" customHeight="1">
      <c r="A363" s="9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4.25" customHeight="1">
      <c r="A364" s="9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4.25" customHeight="1">
      <c r="A365" s="9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4.25" customHeight="1">
      <c r="A366" s="9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4.25" customHeight="1">
      <c r="A367" s="9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4.25" customHeight="1">
      <c r="A368" s="9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4.25" customHeight="1">
      <c r="A369" s="9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4.25" customHeight="1">
      <c r="A370" s="9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4.25" customHeight="1">
      <c r="A371" s="9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4.25" customHeight="1">
      <c r="A372" s="9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4.25" customHeight="1">
      <c r="A373" s="9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4.25" customHeight="1">
      <c r="A374" s="9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4.25" customHeight="1">
      <c r="A375" s="9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4.25" customHeight="1">
      <c r="A376" s="9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4.25" customHeight="1">
      <c r="A377" s="9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4.25" customHeight="1">
      <c r="A378" s="9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4.25" customHeight="1">
      <c r="A379" s="9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4.25" customHeight="1">
      <c r="A380" s="9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4.25" customHeight="1">
      <c r="A381" s="9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4.25" customHeight="1">
      <c r="A382" s="9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4.25" customHeight="1">
      <c r="A383" s="9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4.25" customHeight="1">
      <c r="A384" s="9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4.25" customHeight="1">
      <c r="A385" s="9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4.25" customHeight="1">
      <c r="A386" s="9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4.25" customHeight="1">
      <c r="A387" s="9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4.25" customHeight="1">
      <c r="A388" s="9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4.25" customHeight="1">
      <c r="A389" s="9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4.25" customHeight="1">
      <c r="A390" s="9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4.25" customHeight="1">
      <c r="A391" s="9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4.25" customHeight="1">
      <c r="A392" s="9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4.25" customHeight="1">
      <c r="A393" s="9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4.25" customHeight="1">
      <c r="A394" s="9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4.25" customHeight="1">
      <c r="A395" s="9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4.25" customHeight="1">
      <c r="A396" s="9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4.25" customHeight="1">
      <c r="A397" s="9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4.25" customHeight="1">
      <c r="A398" s="9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4.25" customHeight="1">
      <c r="A399" s="9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4.25" customHeight="1">
      <c r="A400" s="9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4.25" customHeight="1">
      <c r="A401" s="9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4.25" customHeight="1">
      <c r="A402" s="9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4.25" customHeight="1">
      <c r="A403" s="9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4.25" customHeight="1">
      <c r="A404" s="9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4.25" customHeight="1">
      <c r="A405" s="9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4.25" customHeight="1">
      <c r="A406" s="9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4.25" customHeight="1">
      <c r="A407" s="9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4.25" customHeight="1">
      <c r="A408" s="9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4.25" customHeight="1">
      <c r="A409" s="9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4.25" customHeight="1">
      <c r="A410" s="9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4.25" customHeight="1">
      <c r="A411" s="9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4.25" customHeight="1">
      <c r="A412" s="9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4.25" customHeight="1">
      <c r="A413" s="9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4.25" customHeight="1">
      <c r="A414" s="9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4.25" customHeight="1">
      <c r="A415" s="9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4.25" customHeight="1">
      <c r="A416" s="9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4.25" customHeight="1">
      <c r="A417" s="9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4.25" customHeight="1">
      <c r="A418" s="9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4.25" customHeight="1">
      <c r="A419" s="9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4.25" customHeight="1">
      <c r="A420" s="9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4.25" customHeight="1">
      <c r="A421" s="9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4.25" customHeight="1">
      <c r="A422" s="9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4.25" customHeight="1">
      <c r="A423" s="9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4.25" customHeight="1">
      <c r="A424" s="9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4.25" customHeight="1">
      <c r="A425" s="9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4.25" customHeight="1">
      <c r="A426" s="9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4.25" customHeight="1">
      <c r="A427" s="9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4.25" customHeight="1">
      <c r="A428" s="9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4.25" customHeight="1">
      <c r="A429" s="9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4.25" customHeight="1">
      <c r="A430" s="9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4.25" customHeight="1">
      <c r="A431" s="9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4.25" customHeight="1">
      <c r="A432" s="9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4.25" customHeight="1">
      <c r="A433" s="9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4.25" customHeight="1">
      <c r="A434" s="9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4.25" customHeight="1">
      <c r="A435" s="9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4.25" customHeight="1">
      <c r="A436" s="9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4.25" customHeight="1">
      <c r="A437" s="9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4.25" customHeight="1">
      <c r="A438" s="9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4.25" customHeight="1">
      <c r="A439" s="9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4.25" customHeight="1">
      <c r="A440" s="9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4.25" customHeight="1">
      <c r="A441" s="9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4.25" customHeight="1">
      <c r="A442" s="9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4.25" customHeight="1">
      <c r="A443" s="9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4.25" customHeight="1">
      <c r="A444" s="9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4.25" customHeight="1">
      <c r="A445" s="9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4.25" customHeight="1">
      <c r="A446" s="9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4.25" customHeight="1">
      <c r="A447" s="9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4.25" customHeight="1">
      <c r="A448" s="9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4.25" customHeight="1">
      <c r="A449" s="9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4.25" customHeight="1">
      <c r="A450" s="9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4.25" customHeight="1">
      <c r="A451" s="9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4.25" customHeight="1">
      <c r="A452" s="9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4.25" customHeight="1">
      <c r="A453" s="9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4.25" customHeight="1">
      <c r="A454" s="9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4.25" customHeight="1">
      <c r="A455" s="9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4.25" customHeight="1">
      <c r="A456" s="9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4.25" customHeight="1">
      <c r="A457" s="9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4.25" customHeight="1">
      <c r="A458" s="9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4.25" customHeight="1">
      <c r="A459" s="9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4.25" customHeight="1">
      <c r="A460" s="9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4.25" customHeight="1">
      <c r="A461" s="9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4.25" customHeight="1">
      <c r="A462" s="9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4.25" customHeight="1">
      <c r="A463" s="9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4.25" customHeight="1">
      <c r="A464" s="9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4.25" customHeight="1">
      <c r="A465" s="9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4.25" customHeight="1">
      <c r="A466" s="9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4.25" customHeight="1">
      <c r="A467" s="9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4.25" customHeight="1">
      <c r="A468" s="9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4.25" customHeight="1">
      <c r="A469" s="9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4.25" customHeight="1">
      <c r="A470" s="9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4.25" customHeight="1">
      <c r="A471" s="9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4.25" customHeight="1">
      <c r="A472" s="9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4.25" customHeight="1">
      <c r="A473" s="9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4.25" customHeight="1">
      <c r="A474" s="9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4.25" customHeight="1">
      <c r="A475" s="9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4.25" customHeight="1">
      <c r="A476" s="9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4.25" customHeight="1">
      <c r="A477" s="9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4.25" customHeight="1">
      <c r="A478" s="9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4.25" customHeight="1">
      <c r="A479" s="9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4.25" customHeight="1">
      <c r="A480" s="9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4.25" customHeight="1">
      <c r="A481" s="9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4.25" customHeight="1">
      <c r="A482" s="9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4.25" customHeight="1">
      <c r="A483" s="9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4.25" customHeight="1">
      <c r="A484" s="9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4.25" customHeight="1">
      <c r="A485" s="9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4.25" customHeight="1">
      <c r="A486" s="9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4.25" customHeight="1">
      <c r="A487" s="9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4.25" customHeight="1">
      <c r="A488" s="9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4.25" customHeight="1">
      <c r="A489" s="9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4.25" customHeight="1">
      <c r="A490" s="9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4.25" customHeight="1">
      <c r="A491" s="9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4.25" customHeight="1">
      <c r="A492" s="9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4.25" customHeight="1">
      <c r="A493" s="9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4.25" customHeight="1">
      <c r="A494" s="9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4.25" customHeight="1">
      <c r="A495" s="9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4.25" customHeight="1">
      <c r="A496" s="9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4.25" customHeight="1">
      <c r="A497" s="9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4.25" customHeight="1">
      <c r="A498" s="9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4.25" customHeight="1">
      <c r="A499" s="9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4.25" customHeight="1">
      <c r="A500" s="9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4.25" customHeight="1">
      <c r="A501" s="9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4.25" customHeight="1">
      <c r="A502" s="9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4.25" customHeight="1">
      <c r="A503" s="9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4.25" customHeight="1">
      <c r="A504" s="9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4.25" customHeight="1">
      <c r="A505" s="9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4.25" customHeight="1">
      <c r="A506" s="9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4.25" customHeight="1">
      <c r="A507" s="9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4.25" customHeight="1">
      <c r="A508" s="9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4.25" customHeight="1">
      <c r="A509" s="9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4.25" customHeight="1">
      <c r="A510" s="9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4.25" customHeight="1">
      <c r="A511" s="9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4.25" customHeight="1">
      <c r="A512" s="9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4.25" customHeight="1">
      <c r="A513" s="9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4.25" customHeight="1">
      <c r="A514" s="9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4.25" customHeight="1">
      <c r="A515" s="9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4.25" customHeight="1">
      <c r="A516" s="9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4.25" customHeight="1">
      <c r="A517" s="9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4.25" customHeight="1">
      <c r="A518" s="9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4.25" customHeight="1">
      <c r="A519" s="9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4.25" customHeight="1">
      <c r="A520" s="9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4.25" customHeight="1">
      <c r="A521" s="9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4.25" customHeight="1">
      <c r="A522" s="9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4.25" customHeight="1">
      <c r="A523" s="9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4.25" customHeight="1">
      <c r="A524" s="9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4.25" customHeight="1">
      <c r="A525" s="9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4.25" customHeight="1">
      <c r="A526" s="9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4.25" customHeight="1">
      <c r="A527" s="9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4.25" customHeight="1">
      <c r="A528" s="9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4.25" customHeight="1">
      <c r="A529" s="9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4.25" customHeight="1">
      <c r="A530" s="9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4.25" customHeight="1">
      <c r="A531" s="9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4.25" customHeight="1">
      <c r="A532" s="9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4.25" customHeight="1">
      <c r="A533" s="9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4.25" customHeight="1">
      <c r="A534" s="9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4.25" customHeight="1">
      <c r="A535" s="9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4.25" customHeight="1">
      <c r="A536" s="9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4.25" customHeight="1">
      <c r="A537" s="9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4.25" customHeight="1">
      <c r="A538" s="9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4.25" customHeight="1">
      <c r="A539" s="9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4.25" customHeight="1">
      <c r="A540" s="9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4.25" customHeight="1">
      <c r="A541" s="9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4.25" customHeight="1">
      <c r="A542" s="9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4.25" customHeight="1">
      <c r="A543" s="9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4.25" customHeight="1">
      <c r="A544" s="9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4.25" customHeight="1">
      <c r="A545" s="9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4.25" customHeight="1">
      <c r="A546" s="9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4.25" customHeight="1">
      <c r="A547" s="9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4.25" customHeight="1">
      <c r="A548" s="9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4.25" customHeight="1">
      <c r="A549" s="9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4.25" customHeight="1">
      <c r="A550" s="9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4.25" customHeight="1">
      <c r="A551" s="9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4.25" customHeight="1">
      <c r="A552" s="9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4.25" customHeight="1">
      <c r="A553" s="9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4.25" customHeight="1">
      <c r="A554" s="9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4.25" customHeight="1">
      <c r="A555" s="9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4.25" customHeight="1">
      <c r="A556" s="9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4.25" customHeight="1">
      <c r="A557" s="9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4.25" customHeight="1">
      <c r="A558" s="9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4.25" customHeight="1">
      <c r="A559" s="9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4.25" customHeight="1">
      <c r="A560" s="9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4.25" customHeight="1">
      <c r="A561" s="9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4.25" customHeight="1">
      <c r="A562" s="9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4.25" customHeight="1">
      <c r="A563" s="9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4.25" customHeight="1">
      <c r="A564" s="9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4.25" customHeight="1">
      <c r="A565" s="9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4.25" customHeight="1">
      <c r="A566" s="9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4.25" customHeight="1">
      <c r="A567" s="9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4.25" customHeight="1">
      <c r="A568" s="9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4.25" customHeight="1">
      <c r="A569" s="9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4.25" customHeight="1">
      <c r="A570" s="9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4.25" customHeight="1">
      <c r="A571" s="9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4.25" customHeight="1">
      <c r="A572" s="9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4.25" customHeight="1">
      <c r="A573" s="9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4.25" customHeight="1">
      <c r="A574" s="9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4.25" customHeight="1">
      <c r="A575" s="9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4.25" customHeight="1">
      <c r="A576" s="9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4.25" customHeight="1">
      <c r="A577" s="9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4.25" customHeight="1">
      <c r="A578" s="9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4.25" customHeight="1">
      <c r="A579" s="9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4.25" customHeight="1">
      <c r="A580" s="9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4.25" customHeight="1">
      <c r="A581" s="9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4.25" customHeight="1">
      <c r="A582" s="9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4.25" customHeight="1">
      <c r="A583" s="9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4.25" customHeight="1">
      <c r="A584" s="9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4.25" customHeight="1">
      <c r="A585" s="9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4.25" customHeight="1">
      <c r="A586" s="9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4.25" customHeight="1">
      <c r="A587" s="9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4.25" customHeight="1">
      <c r="A588" s="9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4.25" customHeight="1">
      <c r="A589" s="9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4.25" customHeight="1">
      <c r="A590" s="9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4.25" customHeight="1">
      <c r="A591" s="9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4.25" customHeight="1">
      <c r="A592" s="9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4.25" customHeight="1">
      <c r="A593" s="9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4.25" customHeight="1">
      <c r="A594" s="9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4.25" customHeight="1">
      <c r="A595" s="9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4.25" customHeight="1">
      <c r="A596" s="9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4.25" customHeight="1">
      <c r="A597" s="9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4.25" customHeight="1">
      <c r="A598" s="9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4.25" customHeight="1">
      <c r="A599" s="9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4.25" customHeight="1">
      <c r="A600" s="9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4.25" customHeight="1">
      <c r="A601" s="9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4.25" customHeight="1">
      <c r="A602" s="9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4.25" customHeight="1">
      <c r="A603" s="9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4.25" customHeight="1">
      <c r="A604" s="9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4.25" customHeight="1">
      <c r="A605" s="9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4.25" customHeight="1">
      <c r="A606" s="9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4.25" customHeight="1">
      <c r="A607" s="9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4.25" customHeight="1">
      <c r="A608" s="9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4.25" customHeight="1">
      <c r="A609" s="9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4.25" customHeight="1">
      <c r="A610" s="9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4.25" customHeight="1">
      <c r="A611" s="9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4.25" customHeight="1">
      <c r="A612" s="9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4.25" customHeight="1">
      <c r="A613" s="9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4.25" customHeight="1">
      <c r="A614" s="9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4.25" customHeight="1">
      <c r="A615" s="9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4.25" customHeight="1">
      <c r="A616" s="9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4.25" customHeight="1">
      <c r="A617" s="9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4.25" customHeight="1">
      <c r="A618" s="9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4.25" customHeight="1">
      <c r="A619" s="9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4.25" customHeight="1">
      <c r="A620" s="9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4.25" customHeight="1">
      <c r="A621" s="9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4.25" customHeight="1">
      <c r="A622" s="9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4.25" customHeight="1">
      <c r="A623" s="9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4.25" customHeight="1">
      <c r="A624" s="9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4.25" customHeight="1">
      <c r="A625" s="9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4.25" customHeight="1">
      <c r="A626" s="9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4.25" customHeight="1">
      <c r="A627" s="9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4.25" customHeight="1">
      <c r="A628" s="9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4.25" customHeight="1">
      <c r="A629" s="9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4.25" customHeight="1">
      <c r="A630" s="9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4.25" customHeight="1">
      <c r="A631" s="9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4.25" customHeight="1">
      <c r="A632" s="9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4.25" customHeight="1">
      <c r="A633" s="9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4.25" customHeight="1">
      <c r="A634" s="9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4.25" customHeight="1">
      <c r="A635" s="9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4.25" customHeight="1">
      <c r="A636" s="9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4.25" customHeight="1">
      <c r="A637" s="9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4.25" customHeight="1">
      <c r="A638" s="9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4.25" customHeight="1">
      <c r="A639" s="9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4.25" customHeight="1">
      <c r="A640" s="9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4.25" customHeight="1">
      <c r="A641" s="9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4.25" customHeight="1">
      <c r="A642" s="9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4.25" customHeight="1">
      <c r="A643" s="9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4.25" customHeight="1">
      <c r="A644" s="9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4.25" customHeight="1">
      <c r="A645" s="9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4.25" customHeight="1">
      <c r="A646" s="9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4.25" customHeight="1">
      <c r="A647" s="9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4.25" customHeight="1">
      <c r="A648" s="9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4.25" customHeight="1">
      <c r="A649" s="9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4.25" customHeight="1">
      <c r="A650" s="9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4.25" customHeight="1">
      <c r="A651" s="9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4.25" customHeight="1">
      <c r="A652" s="9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4.25" customHeight="1">
      <c r="A653" s="9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4.25" customHeight="1">
      <c r="A654" s="9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4.25" customHeight="1">
      <c r="A655" s="9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4.25" customHeight="1">
      <c r="A656" s="9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4.25" customHeight="1">
      <c r="A657" s="9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4.25" customHeight="1">
      <c r="A658" s="9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4.25" customHeight="1">
      <c r="A659" s="9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4.25" customHeight="1">
      <c r="A660" s="9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4.25" customHeight="1">
      <c r="A661" s="9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4.25" customHeight="1">
      <c r="A662" s="9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4.25" customHeight="1">
      <c r="A663" s="9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4.25" customHeight="1">
      <c r="A664" s="9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4.25" customHeight="1">
      <c r="A665" s="9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4.25" customHeight="1">
      <c r="A666" s="9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4.25" customHeight="1">
      <c r="A667" s="9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4.25" customHeight="1">
      <c r="A668" s="9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4.25" customHeight="1">
      <c r="A669" s="9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4.25" customHeight="1">
      <c r="A670" s="9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4.25" customHeight="1">
      <c r="A671" s="9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4.25" customHeight="1">
      <c r="A672" s="9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4.25" customHeight="1">
      <c r="A673" s="9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4.25" customHeight="1">
      <c r="A674" s="9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4.25" customHeight="1">
      <c r="A675" s="9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4.25" customHeight="1">
      <c r="A676" s="9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4.25" customHeight="1">
      <c r="A677" s="9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4.25" customHeight="1">
      <c r="A678" s="9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4.25" customHeight="1">
      <c r="A679" s="9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4.25" customHeight="1">
      <c r="A680" s="9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4.25" customHeight="1">
      <c r="A681" s="9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4.25" customHeight="1">
      <c r="A682" s="9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4.25" customHeight="1">
      <c r="A683" s="9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4.25" customHeight="1">
      <c r="A684" s="9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4.25" customHeight="1">
      <c r="A685" s="9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4.25" customHeight="1">
      <c r="A686" s="9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4.25" customHeight="1">
      <c r="A687" s="9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4.25" customHeight="1">
      <c r="A688" s="9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4.25" customHeight="1">
      <c r="A689" s="9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4.25" customHeight="1">
      <c r="A690" s="9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4.25" customHeight="1">
      <c r="A691" s="9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4.25" customHeight="1">
      <c r="A692" s="9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4.25" customHeight="1">
      <c r="A693" s="9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4.25" customHeight="1">
      <c r="A694" s="9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4.25" customHeight="1">
      <c r="A695" s="9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4.25" customHeight="1">
      <c r="A696" s="9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4.25" customHeight="1">
      <c r="A697" s="9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4.25" customHeight="1">
      <c r="A698" s="9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4.25" customHeight="1">
      <c r="A699" s="9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4.25" customHeight="1">
      <c r="A700" s="9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4.25" customHeight="1">
      <c r="A701" s="9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4.25" customHeight="1">
      <c r="A702" s="9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4.25" customHeight="1">
      <c r="A703" s="9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4.25" customHeight="1">
      <c r="A704" s="9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4.25" customHeight="1">
      <c r="A705" s="9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4.25" customHeight="1">
      <c r="A706" s="9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4.25" customHeight="1">
      <c r="A707" s="9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4.25" customHeight="1">
      <c r="A708" s="9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4.25" customHeight="1">
      <c r="A709" s="9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4.25" customHeight="1">
      <c r="A710" s="9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4.25" customHeight="1">
      <c r="A711" s="9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4.25" customHeight="1">
      <c r="A712" s="9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4.25" customHeight="1">
      <c r="A713" s="9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4.25" customHeight="1">
      <c r="A714" s="9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4.25" customHeight="1">
      <c r="A715" s="9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4.25" customHeight="1">
      <c r="A716" s="9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4.25" customHeight="1">
      <c r="A717" s="9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4.25" customHeight="1">
      <c r="A718" s="9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4.25" customHeight="1">
      <c r="A719" s="9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4.25" customHeight="1">
      <c r="A720" s="9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4.25" customHeight="1">
      <c r="A721" s="9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4.25" customHeight="1">
      <c r="A722" s="9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4.25" customHeight="1">
      <c r="A723" s="9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4.25" customHeight="1">
      <c r="A724" s="9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4.25" customHeight="1">
      <c r="A725" s="9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4.25" customHeight="1">
      <c r="A726" s="9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4.25" customHeight="1">
      <c r="A727" s="9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4.25" customHeight="1">
      <c r="A728" s="9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4.25" customHeight="1">
      <c r="A729" s="9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4.25" customHeight="1">
      <c r="A730" s="9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4.25" customHeight="1">
      <c r="A731" s="9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4.25" customHeight="1">
      <c r="A732" s="9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4.25" customHeight="1">
      <c r="A733" s="9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4.25" customHeight="1">
      <c r="A734" s="9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4.25" customHeight="1">
      <c r="A735" s="9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4.25" customHeight="1">
      <c r="A736" s="9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4.25" customHeight="1">
      <c r="A737" s="9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4.25" customHeight="1">
      <c r="A738" s="9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4.25" customHeight="1">
      <c r="A739" s="9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4.25" customHeight="1">
      <c r="A740" s="9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4.25" customHeight="1">
      <c r="A741" s="9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4.25" customHeight="1">
      <c r="A742" s="9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4.25" customHeight="1">
      <c r="A743" s="9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4.25" customHeight="1">
      <c r="A744" s="9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4.25" customHeight="1">
      <c r="A745" s="9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4.25" customHeight="1">
      <c r="A746" s="9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4.25" customHeight="1">
      <c r="A747" s="9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4.25" customHeight="1">
      <c r="A748" s="9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4.25" customHeight="1">
      <c r="A749" s="9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4.25" customHeight="1">
      <c r="A750" s="9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4.25" customHeight="1">
      <c r="A751" s="9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4.25" customHeight="1">
      <c r="A752" s="9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4.25" customHeight="1">
      <c r="A753" s="9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4.25" customHeight="1">
      <c r="A754" s="9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4.25" customHeight="1">
      <c r="A755" s="9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4.25" customHeight="1">
      <c r="A756" s="9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4.25" customHeight="1">
      <c r="A757" s="9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4.25" customHeight="1">
      <c r="A758" s="9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4.25" customHeight="1">
      <c r="A759" s="9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4.25" customHeight="1">
      <c r="A760" s="9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4.25" customHeight="1">
      <c r="A761" s="9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4.25" customHeight="1">
      <c r="A762" s="9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4.25" customHeight="1">
      <c r="A763" s="9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4.25" customHeight="1">
      <c r="A764" s="9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4.25" customHeight="1">
      <c r="A765" s="9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4.25" customHeight="1">
      <c r="A766" s="9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4.25" customHeight="1">
      <c r="A767" s="9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4.25" customHeight="1">
      <c r="A768" s="9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4.25" customHeight="1">
      <c r="A769" s="9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4.25" customHeight="1">
      <c r="A770" s="9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4.25" customHeight="1">
      <c r="A771" s="9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4.25" customHeight="1">
      <c r="A772" s="9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4.25" customHeight="1">
      <c r="A773" s="9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4.25" customHeight="1">
      <c r="A774" s="9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4.25" customHeight="1">
      <c r="A775" s="9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4.25" customHeight="1">
      <c r="A776" s="9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4.25" customHeight="1">
      <c r="A777" s="9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4.25" customHeight="1">
      <c r="A778" s="9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4.25" customHeight="1">
      <c r="A779" s="9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4.25" customHeight="1">
      <c r="A780" s="9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4.25" customHeight="1">
      <c r="A781" s="9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4.25" customHeight="1">
      <c r="A782" s="9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4.25" customHeight="1">
      <c r="A783" s="9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4.25" customHeight="1">
      <c r="A784" s="9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4.25" customHeight="1">
      <c r="A785" s="9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4.25" customHeight="1">
      <c r="A786" s="9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4.25" customHeight="1">
      <c r="A787" s="9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4.25" customHeight="1">
      <c r="A788" s="9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4.25" customHeight="1">
      <c r="A789" s="9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4.25" customHeight="1">
      <c r="A790" s="9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4.25" customHeight="1">
      <c r="A791" s="9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4.25" customHeight="1">
      <c r="A792" s="9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4.25" customHeight="1">
      <c r="A793" s="9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4.25" customHeight="1">
      <c r="A794" s="9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4.25" customHeight="1">
      <c r="A795" s="9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4.25" customHeight="1">
      <c r="A796" s="9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4.25" customHeight="1">
      <c r="A797" s="9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4.25" customHeight="1">
      <c r="A798" s="9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4.25" customHeight="1">
      <c r="A799" s="9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4.25" customHeight="1">
      <c r="A800" s="9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4.25" customHeight="1">
      <c r="A801" s="9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4.25" customHeight="1">
      <c r="A802" s="9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4.25" customHeight="1">
      <c r="A803" s="9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4.25" customHeight="1">
      <c r="A804" s="9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4.25" customHeight="1">
      <c r="A805" s="9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4.25" customHeight="1">
      <c r="A806" s="9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4.25" customHeight="1">
      <c r="A807" s="9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4.25" customHeight="1">
      <c r="A808" s="9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4.25" customHeight="1">
      <c r="A809" s="9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4.25" customHeight="1">
      <c r="A810" s="9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4.25" customHeight="1">
      <c r="A811" s="9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4.25" customHeight="1">
      <c r="A812" s="9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4.25" customHeight="1">
      <c r="A813" s="9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4.25" customHeight="1">
      <c r="A814" s="9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4.25" customHeight="1">
      <c r="A815" s="9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4.25" customHeight="1">
      <c r="A816" s="9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4.25" customHeight="1">
      <c r="A817" s="9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4.25" customHeight="1">
      <c r="A818" s="9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4.25" customHeight="1">
      <c r="A819" s="9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4.25" customHeight="1">
      <c r="A820" s="9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4.25" customHeight="1">
      <c r="A821" s="9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4.25" customHeight="1">
      <c r="A822" s="9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4.25" customHeight="1">
      <c r="A823" s="9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4.25" customHeight="1">
      <c r="A824" s="9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4.25" customHeight="1">
      <c r="A825" s="9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4.25" customHeight="1">
      <c r="A826" s="9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4.25" customHeight="1">
      <c r="A827" s="9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4.25" customHeight="1">
      <c r="A828" s="9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4.25" customHeight="1">
      <c r="A829" s="9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4.25" customHeight="1">
      <c r="A830" s="9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4.25" customHeight="1">
      <c r="A831" s="9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4.25" customHeight="1">
      <c r="A832" s="9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4.25" customHeight="1">
      <c r="A833" s="9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4.25" customHeight="1">
      <c r="A834" s="9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4.25" customHeight="1">
      <c r="A835" s="9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4.25" customHeight="1">
      <c r="A836" s="9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4.25" customHeight="1">
      <c r="A837" s="9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4.25" customHeight="1">
      <c r="A838" s="9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4.25" customHeight="1">
      <c r="A839" s="9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4.25" customHeight="1">
      <c r="A840" s="9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4.25" customHeight="1">
      <c r="A841" s="9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4.25" customHeight="1">
      <c r="A842" s="9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4.25" customHeight="1">
      <c r="A843" s="9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4.25" customHeight="1">
      <c r="A844" s="9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4.25" customHeight="1">
      <c r="A845" s="9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4.25" customHeight="1">
      <c r="A846" s="9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4.25" customHeight="1">
      <c r="A847" s="9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4.25" customHeight="1">
      <c r="A848" s="9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4.25" customHeight="1">
      <c r="A849" s="9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4.25" customHeight="1">
      <c r="A850" s="9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4.25" customHeight="1">
      <c r="A851" s="9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4.25" customHeight="1">
      <c r="A852" s="9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4.25" customHeight="1">
      <c r="A853" s="9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4.25" customHeight="1">
      <c r="A854" s="9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4.25" customHeight="1">
      <c r="A855" s="9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4.25" customHeight="1">
      <c r="A856" s="9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4.25" customHeight="1">
      <c r="A857" s="9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4.25" customHeight="1">
      <c r="A858" s="9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4.25" customHeight="1">
      <c r="A859" s="9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4.25" customHeight="1">
      <c r="A860" s="9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4.25" customHeight="1">
      <c r="A861" s="9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4.25" customHeight="1">
      <c r="A862" s="9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4.25" customHeight="1">
      <c r="A863" s="9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4.25" customHeight="1">
      <c r="A864" s="9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4.25" customHeight="1">
      <c r="A865" s="9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4.25" customHeight="1">
      <c r="A866" s="9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4.25" customHeight="1">
      <c r="A867" s="9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4.25" customHeight="1">
      <c r="A868" s="9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4.25" customHeight="1">
      <c r="A869" s="9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4.25" customHeight="1">
      <c r="A870" s="9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4.25" customHeight="1">
      <c r="A871" s="9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4.25" customHeight="1">
      <c r="A872" s="9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4.25" customHeight="1">
      <c r="A873" s="9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4.25" customHeight="1">
      <c r="A874" s="9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4.25" customHeight="1">
      <c r="A875" s="9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4.25" customHeight="1">
      <c r="A876" s="9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4.25" customHeight="1">
      <c r="A877" s="9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4.25" customHeight="1">
      <c r="A878" s="9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4.25" customHeight="1">
      <c r="A879" s="9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4.25" customHeight="1">
      <c r="A880" s="9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4.25" customHeight="1">
      <c r="A881" s="9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4.25" customHeight="1">
      <c r="A882" s="9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4.25" customHeight="1">
      <c r="A883" s="9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4.25" customHeight="1">
      <c r="A884" s="9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4.25" customHeight="1">
      <c r="A885" s="9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4.25" customHeight="1">
      <c r="A886" s="9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4.25" customHeight="1">
      <c r="A887" s="9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4.25" customHeight="1">
      <c r="A888" s="9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4.25" customHeight="1">
      <c r="A889" s="9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4.25" customHeight="1">
      <c r="A890" s="9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4.25" customHeight="1">
      <c r="A891" s="9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4.25" customHeight="1">
      <c r="A892" s="9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4.25" customHeight="1">
      <c r="A893" s="9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4.25" customHeight="1">
      <c r="A894" s="9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4.25" customHeight="1">
      <c r="A895" s="9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4.25" customHeight="1">
      <c r="A896" s="9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4.25" customHeight="1">
      <c r="A897" s="9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4.25" customHeight="1">
      <c r="A898" s="9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4.25" customHeight="1">
      <c r="A899" s="9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4.25" customHeight="1">
      <c r="A900" s="9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4.25" customHeight="1">
      <c r="A901" s="9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4.25" customHeight="1">
      <c r="A902" s="9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4.25" customHeight="1">
      <c r="A903" s="9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4.25" customHeight="1">
      <c r="A904" s="9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4.25" customHeight="1">
      <c r="A905" s="9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4.25" customHeight="1">
      <c r="A906" s="9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4.25" customHeight="1">
      <c r="A907" s="9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4.25" customHeight="1">
      <c r="A908" s="9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4.25" customHeight="1">
      <c r="A909" s="9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4.25" customHeight="1">
      <c r="A910" s="9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4.25" customHeight="1">
      <c r="A911" s="9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4.25" customHeight="1">
      <c r="A912" s="9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4.25" customHeight="1">
      <c r="A913" s="9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4.25" customHeight="1">
      <c r="A914" s="9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4.25" customHeight="1">
      <c r="A915" s="9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4.25" customHeight="1">
      <c r="A916" s="9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4.25" customHeight="1">
      <c r="A917" s="9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4.25" customHeight="1">
      <c r="A918" s="9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4.25" customHeight="1">
      <c r="A919" s="9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4.25" customHeight="1">
      <c r="A920" s="9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4.25" customHeight="1">
      <c r="A921" s="9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4.25" customHeight="1">
      <c r="A922" s="9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4.25" customHeight="1">
      <c r="A923" s="9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4.25" customHeight="1">
      <c r="A924" s="9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4.25" customHeight="1">
      <c r="A925" s="9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4.25" customHeight="1">
      <c r="A926" s="9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4.25" customHeight="1">
      <c r="A927" s="9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4.25" customHeight="1">
      <c r="A928" s="9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4.25" customHeight="1">
      <c r="A929" s="9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4.25" customHeight="1">
      <c r="A930" s="9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4.25" customHeight="1">
      <c r="A931" s="9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4.25" customHeight="1">
      <c r="A932" s="9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4.25" customHeight="1">
      <c r="A933" s="9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4.25" customHeight="1">
      <c r="A934" s="9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4.25" customHeight="1">
      <c r="A935" s="9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4.25" customHeight="1">
      <c r="A936" s="9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4.25" customHeight="1">
      <c r="A937" s="9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4.25" customHeight="1">
      <c r="A938" s="9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4.25" customHeight="1">
      <c r="A939" s="9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4.25" customHeight="1">
      <c r="A940" s="9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4.25" customHeight="1">
      <c r="A941" s="9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4.25" customHeight="1">
      <c r="A942" s="9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4.25" customHeight="1">
      <c r="A943" s="9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4.25" customHeight="1">
      <c r="A944" s="9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4.25" customHeight="1">
      <c r="A945" s="9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4.25" customHeight="1">
      <c r="A946" s="9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4.25" customHeight="1">
      <c r="A947" s="9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4.25" customHeight="1">
      <c r="A948" s="9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4.25" customHeight="1">
      <c r="A949" s="9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4.25" customHeight="1">
      <c r="A950" s="9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4.25" customHeight="1">
      <c r="A951" s="9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4.25" customHeight="1">
      <c r="A952" s="9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4.25" customHeight="1">
      <c r="A953" s="9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4.25" customHeight="1">
      <c r="A954" s="9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4.25" customHeight="1">
      <c r="A955" s="9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4.25" customHeight="1">
      <c r="A956" s="9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4.25" customHeight="1">
      <c r="A957" s="9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4.25" customHeight="1">
      <c r="A958" s="9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4.25" customHeight="1">
      <c r="A959" s="9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4.25" customHeight="1">
      <c r="A960" s="9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4.25" customHeight="1">
      <c r="A961" s="9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4.25" customHeight="1">
      <c r="A962" s="9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4.25" customHeight="1">
      <c r="A963" s="9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4.25" customHeight="1">
      <c r="A964" s="9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4.25" customHeight="1">
      <c r="A965" s="9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4.25" customHeight="1">
      <c r="A966" s="9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4.25" customHeight="1">
      <c r="A967" s="9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4.25" customHeight="1">
      <c r="A968" s="9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4.25" customHeight="1">
      <c r="A969" s="9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4.25" customHeight="1">
      <c r="A970" s="9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4.25" customHeight="1">
      <c r="A971" s="9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4.25" customHeight="1">
      <c r="A972" s="9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4.25" customHeight="1">
      <c r="A973" s="9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4.25" customHeight="1">
      <c r="A974" s="9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4.25" customHeight="1">
      <c r="A975" s="9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4.25" customHeight="1">
      <c r="A976" s="9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4.25" customHeight="1">
      <c r="A977" s="9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4.25" customHeight="1">
      <c r="A978" s="9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4.25" customHeight="1">
      <c r="A979" s="9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4.25" customHeight="1">
      <c r="A980" s="9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4.25" customHeight="1">
      <c r="A981" s="9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4.25" customHeight="1">
      <c r="A982" s="9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4.25" customHeight="1">
      <c r="A983" s="9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4.25" customHeight="1">
      <c r="A984" s="9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4.25" customHeight="1">
      <c r="A985" s="9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4.25" customHeight="1">
      <c r="A986" s="9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4.25" customHeight="1">
      <c r="A987" s="9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4.25" customHeight="1">
      <c r="A988" s="9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4.25" customHeight="1">
      <c r="A989" s="9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4.25" customHeight="1">
      <c r="A990" s="9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4.25" customHeight="1">
      <c r="A991" s="9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4.25" customHeight="1">
      <c r="A992" s="9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4.25" customHeight="1">
      <c r="A993" s="9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4.25" customHeight="1">
      <c r="A994" s="9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4.25" customHeight="1">
      <c r="A995" s="9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4.25" customHeight="1">
      <c r="A996" s="9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4.25" customHeight="1">
      <c r="A997" s="9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4.25" customHeight="1">
      <c r="A998" s="9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4.25" customHeight="1">
      <c r="A999" s="9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4.25" customHeight="1">
      <c r="A1000" s="9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1968503937007874" footer="0.0" header="0.0" left="0.3937007874015748" right="0.1968503937007874" top="0.1968503937007874"/>
  <pageSetup paperSize="9" scale="72" orientation="portrait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tabColor rgb="FFFF99CC"/>
    <pageSetUpPr/>
  </sheetPr>
  <sheetViews>
    <sheetView showGridLines="0" workbookViewId="0"/>
  </sheetViews>
  <sheetFormatPr customHeight="1" defaultColWidth="14.43" defaultRowHeight="15.0" outlineLevelCol="1"/>
  <cols>
    <col customWidth="1" min="1" max="1" width="2.0"/>
    <col customWidth="1" min="2" max="2" width="13.14"/>
    <col customWidth="1" min="3" max="13" width="8.86"/>
    <col customWidth="1" min="14" max="14" width="8.86" outlineLevel="1"/>
    <col customWidth="1" hidden="1" min="15" max="15" width="8.86" outlineLevel="1"/>
    <col customWidth="1" min="16" max="16" width="11.86"/>
    <col customWidth="1" min="17" max="17" width="2.14"/>
    <col customWidth="1" min="18" max="26" width="9.0"/>
  </cols>
  <sheetData>
    <row r="1" ht="22.5" customHeight="1">
      <c r="A1" s="174" t="s">
        <v>82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2"/>
      <c r="S1" s="2"/>
      <c r="T1" s="2"/>
      <c r="U1" s="2"/>
      <c r="V1" s="2"/>
      <c r="W1" s="2"/>
      <c r="X1" s="2"/>
      <c r="Y1" s="2"/>
      <c r="Z1" s="2"/>
    </row>
    <row r="2" ht="12.75" customHeight="1">
      <c r="A2" s="9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21" t="str">
        <f>IF(COUNTIF(B8:B18,"")=ROWS(B8:B18),"[経費管理]シートでメンバー名を入力して下さい.","")</f>
        <v/>
      </c>
      <c r="Q2" s="2"/>
      <c r="R2" s="2"/>
      <c r="S2" s="2"/>
      <c r="T2" s="2"/>
      <c r="U2" s="2"/>
      <c r="V2" s="2"/>
      <c r="W2" s="2"/>
      <c r="X2" s="2"/>
      <c r="Y2" s="2"/>
      <c r="Z2" s="2"/>
    </row>
    <row r="3" ht="21.0" customHeight="1">
      <c r="A3" s="10"/>
      <c r="B3" s="2"/>
      <c r="C3" s="2"/>
      <c r="D3" s="2"/>
      <c r="E3" s="2"/>
      <c r="F3" s="2"/>
      <c r="G3" s="2"/>
      <c r="H3" s="2"/>
      <c r="I3" s="2"/>
      <c r="J3" s="2"/>
      <c r="K3" s="2"/>
      <c r="L3" s="80"/>
      <c r="M3" s="2"/>
      <c r="N3" s="2"/>
      <c r="O3" s="2"/>
      <c r="P3" s="81"/>
      <c r="Q3" s="2"/>
      <c r="R3" s="2"/>
      <c r="S3" s="2"/>
      <c r="T3" s="2"/>
      <c r="U3" s="2"/>
      <c r="V3" s="2"/>
      <c r="W3" s="2"/>
      <c r="X3" s="2"/>
      <c r="Y3" s="2"/>
      <c r="Z3" s="2"/>
    </row>
    <row r="4" ht="14.25" customHeight="1">
      <c r="A4" s="9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4.25" customHeight="1">
      <c r="A5" s="9"/>
      <c r="B5" s="122" t="s">
        <v>73</v>
      </c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2"/>
      <c r="R5" s="2"/>
      <c r="S5" s="2"/>
      <c r="T5" s="2"/>
      <c r="U5" s="2"/>
      <c r="V5" s="2"/>
      <c r="W5" s="2"/>
      <c r="X5" s="2"/>
      <c r="Y5" s="2"/>
      <c r="Z5" s="2"/>
    </row>
    <row r="6" ht="6.75" customHeight="1">
      <c r="A6" s="9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8.0" customHeight="1">
      <c r="A7" s="82"/>
      <c r="B7" s="175" t="s">
        <v>5</v>
      </c>
      <c r="C7" s="125">
        <f>'実績入力シート'!C7</f>
        <v>44830</v>
      </c>
      <c r="D7" s="125">
        <f>'実績入力シート'!D7</f>
        <v>44837</v>
      </c>
      <c r="E7" s="125">
        <f>'実績入力シート'!E7</f>
        <v>44851</v>
      </c>
      <c r="F7" s="125">
        <f>'実績入力シート'!F7</f>
        <v>44858</v>
      </c>
      <c r="G7" s="125">
        <f>'実績入力シート'!G7</f>
        <v>44865</v>
      </c>
      <c r="H7" s="125">
        <f>'実績入力シート'!H7</f>
        <v>44872</v>
      </c>
      <c r="I7" s="125">
        <f>'実績入力シート'!I7</f>
        <v>44879</v>
      </c>
      <c r="J7" s="125">
        <f>'実績入力シート'!J7</f>
        <v>44886</v>
      </c>
      <c r="K7" s="125">
        <f>'実績入力シート'!K7</f>
        <v>44893</v>
      </c>
      <c r="L7" s="125">
        <f>'実績入力シート'!L7</f>
        <v>44900</v>
      </c>
      <c r="M7" s="125">
        <f>'実績入力シート'!M7</f>
        <v>44907</v>
      </c>
      <c r="N7" s="125">
        <f>'実績入力シート'!N7</f>
        <v>44914</v>
      </c>
      <c r="O7" s="125">
        <v>39804.0</v>
      </c>
      <c r="P7" s="176" t="s">
        <v>74</v>
      </c>
      <c r="Q7" s="36"/>
      <c r="R7" s="36"/>
      <c r="S7" s="36"/>
      <c r="T7" s="36"/>
      <c r="U7" s="36"/>
      <c r="V7" s="36"/>
      <c r="W7" s="36"/>
      <c r="X7" s="36"/>
      <c r="Y7" s="36"/>
      <c r="Z7" s="36"/>
    </row>
    <row r="8" ht="15.75" customHeight="1">
      <c r="A8" s="9"/>
      <c r="B8" s="124" t="str">
        <f>IF('経費管理'!G8&lt;&gt;"",'経費管理'!G8,"")</f>
        <v>池田</v>
      </c>
      <c r="C8" s="129">
        <v>200.0</v>
      </c>
      <c r="D8" s="130">
        <v>200.0</v>
      </c>
      <c r="E8" s="130">
        <v>200.0</v>
      </c>
      <c r="F8" s="130">
        <v>400.0</v>
      </c>
      <c r="G8" s="130">
        <v>400.0</v>
      </c>
      <c r="H8" s="130">
        <v>400.0</v>
      </c>
      <c r="I8" s="130">
        <v>400.0</v>
      </c>
      <c r="J8" s="130">
        <v>400.0</v>
      </c>
      <c r="K8" s="130">
        <v>400.0</v>
      </c>
      <c r="L8" s="130">
        <v>400.0</v>
      </c>
      <c r="M8" s="130">
        <v>400.0</v>
      </c>
      <c r="N8" s="177">
        <v>400.0</v>
      </c>
      <c r="O8" s="142"/>
      <c r="P8" s="143">
        <f t="shared" ref="P8:P18" si="1">SUM(C8:O8)</f>
        <v>4200</v>
      </c>
      <c r="Q8" s="2"/>
      <c r="R8" s="2"/>
      <c r="S8" s="2"/>
      <c r="T8" s="2"/>
      <c r="U8" s="2"/>
      <c r="V8" s="2"/>
      <c r="W8" s="2"/>
      <c r="X8" s="2"/>
      <c r="Y8" s="2"/>
      <c r="Z8" s="2"/>
    </row>
    <row r="9" ht="15.75" customHeight="1">
      <c r="A9" s="9"/>
      <c r="B9" s="124" t="str">
        <f>IF('経費管理'!G9&lt;&gt;"",'経費管理'!G9,"")</f>
        <v>瓜生</v>
      </c>
      <c r="C9" s="135">
        <v>200.0</v>
      </c>
      <c r="D9" s="136">
        <v>200.0</v>
      </c>
      <c r="E9" s="136">
        <v>200.0</v>
      </c>
      <c r="F9" s="136">
        <v>400.0</v>
      </c>
      <c r="G9" s="136">
        <v>400.0</v>
      </c>
      <c r="H9" s="136">
        <v>400.0</v>
      </c>
      <c r="I9" s="139">
        <v>400.0</v>
      </c>
      <c r="J9" s="136">
        <v>400.0</v>
      </c>
      <c r="K9" s="139">
        <v>400.0</v>
      </c>
      <c r="L9" s="139">
        <v>400.0</v>
      </c>
      <c r="M9" s="139">
        <v>400.0</v>
      </c>
      <c r="N9" s="178">
        <v>400.0</v>
      </c>
      <c r="O9" s="142"/>
      <c r="P9" s="143">
        <f t="shared" si="1"/>
        <v>4200</v>
      </c>
      <c r="Q9" s="2"/>
      <c r="R9" s="2"/>
      <c r="S9" s="2"/>
      <c r="T9" s="2"/>
      <c r="U9" s="2"/>
      <c r="V9" s="2"/>
      <c r="W9" s="2"/>
      <c r="X9" s="2"/>
      <c r="Y9" s="2"/>
      <c r="Z9" s="2"/>
    </row>
    <row r="10" ht="15.75" customHeight="1">
      <c r="A10" s="9"/>
      <c r="B10" s="124" t="str">
        <f>IF('経費管理'!G10&lt;&gt;"",'経費管理'!G10,"")</f>
        <v>江頭</v>
      </c>
      <c r="C10" s="135">
        <v>200.0</v>
      </c>
      <c r="D10" s="139">
        <v>200.0</v>
      </c>
      <c r="E10" s="139">
        <v>200.0</v>
      </c>
      <c r="F10" s="139">
        <v>400.0</v>
      </c>
      <c r="G10" s="139">
        <v>400.0</v>
      </c>
      <c r="H10" s="139">
        <v>400.0</v>
      </c>
      <c r="I10" s="139">
        <v>400.0</v>
      </c>
      <c r="J10" s="139">
        <v>400.0</v>
      </c>
      <c r="K10" s="139">
        <v>400.0</v>
      </c>
      <c r="L10" s="139">
        <v>400.0</v>
      </c>
      <c r="M10" s="139">
        <v>400.0</v>
      </c>
      <c r="N10" s="178">
        <v>400.0</v>
      </c>
      <c r="O10" s="142"/>
      <c r="P10" s="143">
        <f t="shared" si="1"/>
        <v>4200</v>
      </c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5.75" customHeight="1">
      <c r="A11" s="9"/>
      <c r="B11" s="124" t="str">
        <f>IF('経費管理'!G11&lt;&gt;"",'経費管理'!G11,"")</f>
        <v>唐川</v>
      </c>
      <c r="C11" s="135">
        <v>200.0</v>
      </c>
      <c r="D11" s="139">
        <v>200.0</v>
      </c>
      <c r="E11" s="139">
        <v>200.0</v>
      </c>
      <c r="F11" s="139">
        <v>400.0</v>
      </c>
      <c r="G11" s="139">
        <v>400.0</v>
      </c>
      <c r="H11" s="139">
        <v>400.0</v>
      </c>
      <c r="I11" s="139">
        <v>400.0</v>
      </c>
      <c r="J11" s="139">
        <v>400.0</v>
      </c>
      <c r="K11" s="139">
        <v>400.0</v>
      </c>
      <c r="L11" s="139">
        <v>400.0</v>
      </c>
      <c r="M11" s="139">
        <v>400.0</v>
      </c>
      <c r="N11" s="178">
        <v>400.0</v>
      </c>
      <c r="O11" s="142"/>
      <c r="P11" s="143">
        <f t="shared" si="1"/>
        <v>4200</v>
      </c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5.75" customHeight="1">
      <c r="A12" s="9"/>
      <c r="B12" s="124" t="str">
        <f>IF('経費管理'!G12&lt;&gt;"",'経費管理'!G12,"")</f>
        <v>仲山</v>
      </c>
      <c r="C12" s="135">
        <v>200.0</v>
      </c>
      <c r="D12" s="139">
        <v>200.0</v>
      </c>
      <c r="E12" s="139">
        <v>200.0</v>
      </c>
      <c r="F12" s="139">
        <v>400.0</v>
      </c>
      <c r="G12" s="139">
        <v>400.0</v>
      </c>
      <c r="H12" s="139">
        <v>400.0</v>
      </c>
      <c r="I12" s="139">
        <v>400.0</v>
      </c>
      <c r="J12" s="139">
        <v>400.0</v>
      </c>
      <c r="K12" s="139">
        <v>400.0</v>
      </c>
      <c r="L12" s="139">
        <v>400.0</v>
      </c>
      <c r="M12" s="139">
        <v>400.0</v>
      </c>
      <c r="N12" s="178">
        <v>400.0</v>
      </c>
      <c r="O12" s="142"/>
      <c r="P12" s="143">
        <f t="shared" si="1"/>
        <v>4200</v>
      </c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5.75" customHeight="1">
      <c r="A13" s="9"/>
      <c r="B13" s="124" t="str">
        <f>IF('経費管理'!G13&lt;&gt;"",'経費管理'!G13,"")</f>
        <v>鷲崎</v>
      </c>
      <c r="C13" s="135">
        <v>200.0</v>
      </c>
      <c r="D13" s="139">
        <v>200.0</v>
      </c>
      <c r="E13" s="139">
        <v>200.0</v>
      </c>
      <c r="F13" s="139">
        <v>400.0</v>
      </c>
      <c r="G13" s="139">
        <v>400.0</v>
      </c>
      <c r="H13" s="139">
        <v>400.0</v>
      </c>
      <c r="I13" s="139">
        <v>400.0</v>
      </c>
      <c r="J13" s="139">
        <v>400.0</v>
      </c>
      <c r="K13" s="139">
        <v>400.0</v>
      </c>
      <c r="L13" s="139">
        <v>400.0</v>
      </c>
      <c r="M13" s="139">
        <v>400.0</v>
      </c>
      <c r="N13" s="178">
        <v>400.0</v>
      </c>
      <c r="O13" s="142"/>
      <c r="P13" s="143">
        <f t="shared" si="1"/>
        <v>4200</v>
      </c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5.75" customHeight="1">
      <c r="A14" s="9"/>
      <c r="B14" s="124" t="str">
        <f>IF('経費管理'!G14&lt;&gt;"",'経費管理'!G14,"")</f>
        <v/>
      </c>
      <c r="C14" s="144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67"/>
      <c r="O14" s="142"/>
      <c r="P14" s="143">
        <f t="shared" si="1"/>
        <v>0</v>
      </c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5.75" customHeight="1">
      <c r="A15" s="9"/>
      <c r="B15" s="124" t="str">
        <f>IF('経費管理'!G15&lt;&gt;"",'経費管理'!G15,"")</f>
        <v/>
      </c>
      <c r="C15" s="145"/>
      <c r="D15" s="146"/>
      <c r="E15" s="146"/>
      <c r="F15" s="146"/>
      <c r="G15" s="146"/>
      <c r="H15" s="146"/>
      <c r="I15" s="146"/>
      <c r="J15" s="146"/>
      <c r="K15" s="146"/>
      <c r="L15" s="146"/>
      <c r="M15" s="146"/>
      <c r="N15" s="179"/>
      <c r="O15" s="142"/>
      <c r="P15" s="143">
        <f t="shared" si="1"/>
        <v>0</v>
      </c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5.75" customHeight="1">
      <c r="A16" s="9"/>
      <c r="B16" s="180" t="s">
        <v>75</v>
      </c>
      <c r="C16" s="149"/>
      <c r="D16" s="150"/>
      <c r="E16" s="150"/>
      <c r="F16" s="150"/>
      <c r="G16" s="150"/>
      <c r="H16" s="150"/>
      <c r="I16" s="150"/>
      <c r="J16" s="150"/>
      <c r="K16" s="150"/>
      <c r="L16" s="150"/>
      <c r="M16" s="150"/>
      <c r="N16" s="181"/>
      <c r="O16" s="142"/>
      <c r="P16" s="143">
        <f t="shared" si="1"/>
        <v>0</v>
      </c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5.75" hidden="1" customHeight="1">
      <c r="A17" s="9"/>
      <c r="B17" s="180"/>
      <c r="C17" s="154"/>
      <c r="D17" s="155"/>
      <c r="E17" s="155"/>
      <c r="F17" s="155"/>
      <c r="G17" s="155"/>
      <c r="H17" s="155"/>
      <c r="I17" s="155"/>
      <c r="J17" s="155"/>
      <c r="K17" s="155"/>
      <c r="L17" s="155"/>
      <c r="M17" s="155"/>
      <c r="N17" s="156"/>
      <c r="O17" s="140"/>
      <c r="P17" s="143">
        <f t="shared" si="1"/>
        <v>0</v>
      </c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5.75" hidden="1" customHeight="1">
      <c r="A18" s="9"/>
      <c r="B18" s="180"/>
      <c r="C18" s="158"/>
      <c r="D18" s="159"/>
      <c r="E18" s="159"/>
      <c r="F18" s="159"/>
      <c r="G18" s="159"/>
      <c r="H18" s="159"/>
      <c r="I18" s="159"/>
      <c r="J18" s="159"/>
      <c r="K18" s="159"/>
      <c r="L18" s="159"/>
      <c r="M18" s="159"/>
      <c r="N18" s="160"/>
      <c r="O18" s="140"/>
      <c r="P18" s="143">
        <f t="shared" si="1"/>
        <v>0</v>
      </c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8.0" customHeight="1">
      <c r="A19" s="9"/>
      <c r="B19" s="161" t="s">
        <v>53</v>
      </c>
      <c r="C19" s="163">
        <f t="shared" ref="C19:P19" si="2">SUM(C8:C18)</f>
        <v>1200</v>
      </c>
      <c r="D19" s="163">
        <f t="shared" si="2"/>
        <v>1200</v>
      </c>
      <c r="E19" s="163">
        <f t="shared" si="2"/>
        <v>1200</v>
      </c>
      <c r="F19" s="163">
        <f t="shared" si="2"/>
        <v>2400</v>
      </c>
      <c r="G19" s="163">
        <f t="shared" si="2"/>
        <v>2400</v>
      </c>
      <c r="H19" s="163">
        <f t="shared" si="2"/>
        <v>2400</v>
      </c>
      <c r="I19" s="163">
        <f t="shared" si="2"/>
        <v>2400</v>
      </c>
      <c r="J19" s="163">
        <f t="shared" si="2"/>
        <v>2400</v>
      </c>
      <c r="K19" s="163">
        <f t="shared" si="2"/>
        <v>2400</v>
      </c>
      <c r="L19" s="163">
        <f t="shared" si="2"/>
        <v>2400</v>
      </c>
      <c r="M19" s="163">
        <f t="shared" si="2"/>
        <v>2400</v>
      </c>
      <c r="N19" s="163">
        <f t="shared" si="2"/>
        <v>2400</v>
      </c>
      <c r="O19" s="163">
        <f t="shared" si="2"/>
        <v>0</v>
      </c>
      <c r="P19" s="143">
        <f t="shared" si="2"/>
        <v>25200</v>
      </c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4.25" customHeight="1">
      <c r="A20" s="9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4.25" customHeight="1">
      <c r="A21" s="9"/>
      <c r="B21" s="122" t="s">
        <v>76</v>
      </c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6.75" customHeight="1">
      <c r="A22" s="9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8.0" customHeight="1">
      <c r="A23" s="82"/>
      <c r="B23" s="175" t="s">
        <v>5</v>
      </c>
      <c r="C23" s="125">
        <f t="shared" ref="C23:N23" si="3">C7</f>
        <v>44830</v>
      </c>
      <c r="D23" s="125">
        <f t="shared" si="3"/>
        <v>44837</v>
      </c>
      <c r="E23" s="125">
        <f t="shared" si="3"/>
        <v>44851</v>
      </c>
      <c r="F23" s="125">
        <f t="shared" si="3"/>
        <v>44858</v>
      </c>
      <c r="G23" s="125">
        <f t="shared" si="3"/>
        <v>44865</v>
      </c>
      <c r="H23" s="125">
        <f t="shared" si="3"/>
        <v>44872</v>
      </c>
      <c r="I23" s="125">
        <f t="shared" si="3"/>
        <v>44879</v>
      </c>
      <c r="J23" s="125">
        <f t="shared" si="3"/>
        <v>44886</v>
      </c>
      <c r="K23" s="125">
        <f t="shared" si="3"/>
        <v>44893</v>
      </c>
      <c r="L23" s="125">
        <f t="shared" si="3"/>
        <v>44900</v>
      </c>
      <c r="M23" s="125">
        <f t="shared" si="3"/>
        <v>44907</v>
      </c>
      <c r="N23" s="125">
        <f t="shared" si="3"/>
        <v>44914</v>
      </c>
      <c r="O23" s="125">
        <v>39804.0</v>
      </c>
      <c r="P23" s="176" t="s">
        <v>74</v>
      </c>
      <c r="Q23" s="36"/>
      <c r="R23" s="36"/>
      <c r="S23" s="36"/>
      <c r="T23" s="36"/>
      <c r="U23" s="36"/>
      <c r="V23" s="36"/>
      <c r="W23" s="36"/>
      <c r="X23" s="36"/>
      <c r="Y23" s="36"/>
      <c r="Z23" s="36"/>
    </row>
    <row r="24" ht="15.75" customHeight="1">
      <c r="A24" s="9"/>
      <c r="B24" s="124" t="str">
        <f t="shared" ref="B24:B31" si="4">IF(B8&lt;&gt;"",B8,"")</f>
        <v>池田</v>
      </c>
      <c r="C24" s="164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65"/>
      <c r="O24" s="142"/>
      <c r="P24" s="166">
        <f t="shared" ref="P24:P34" si="5">SUM(C24:O24)</f>
        <v>0</v>
      </c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9"/>
      <c r="B25" s="124" t="str">
        <f t="shared" si="4"/>
        <v>瓜生</v>
      </c>
      <c r="C25" s="144"/>
      <c r="D25" s="140"/>
      <c r="E25" s="140"/>
      <c r="F25" s="140"/>
      <c r="G25" s="140"/>
      <c r="H25" s="140"/>
      <c r="I25" s="140"/>
      <c r="J25" s="139">
        <v>1.0</v>
      </c>
      <c r="K25" s="140"/>
      <c r="L25" s="140"/>
      <c r="M25" s="140"/>
      <c r="N25" s="167"/>
      <c r="O25" s="142"/>
      <c r="P25" s="166">
        <f t="shared" si="5"/>
        <v>1</v>
      </c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9"/>
      <c r="B26" s="124" t="str">
        <f t="shared" si="4"/>
        <v>江頭</v>
      </c>
      <c r="C26" s="144"/>
      <c r="D26" s="140"/>
      <c r="E26" s="140"/>
      <c r="F26" s="140"/>
      <c r="G26" s="140"/>
      <c r="H26" s="139">
        <v>1.0</v>
      </c>
      <c r="I26" s="140"/>
      <c r="J26" s="139">
        <v>1.0</v>
      </c>
      <c r="K26" s="140"/>
      <c r="L26" s="140"/>
      <c r="M26" s="140"/>
      <c r="N26" s="167"/>
      <c r="O26" s="142"/>
      <c r="P26" s="166">
        <f t="shared" si="5"/>
        <v>2</v>
      </c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9"/>
      <c r="B27" s="124" t="str">
        <f t="shared" si="4"/>
        <v>唐川</v>
      </c>
      <c r="C27" s="144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67"/>
      <c r="O27" s="142"/>
      <c r="P27" s="166">
        <f t="shared" si="5"/>
        <v>0</v>
      </c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9"/>
      <c r="B28" s="124" t="str">
        <f t="shared" si="4"/>
        <v>仲山</v>
      </c>
      <c r="C28" s="144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67"/>
      <c r="O28" s="142"/>
      <c r="P28" s="166">
        <f t="shared" si="5"/>
        <v>0</v>
      </c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9"/>
      <c r="B29" s="124" t="str">
        <f t="shared" si="4"/>
        <v>鷲崎</v>
      </c>
      <c r="C29" s="144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67"/>
      <c r="O29" s="142"/>
      <c r="P29" s="166">
        <f t="shared" si="5"/>
        <v>0</v>
      </c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9"/>
      <c r="B30" s="124" t="str">
        <f t="shared" si="4"/>
        <v/>
      </c>
      <c r="C30" s="144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67"/>
      <c r="O30" s="142"/>
      <c r="P30" s="166">
        <f t="shared" si="5"/>
        <v>0</v>
      </c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9"/>
      <c r="B31" s="124" t="str">
        <f t="shared" si="4"/>
        <v/>
      </c>
      <c r="C31" s="158"/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70"/>
      <c r="O31" s="142"/>
      <c r="P31" s="166">
        <f t="shared" si="5"/>
        <v>0</v>
      </c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hidden="1" customHeight="1">
      <c r="A32" s="9"/>
      <c r="B32" s="180"/>
      <c r="C32" s="154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6"/>
      <c r="O32" s="140"/>
      <c r="P32" s="166">
        <f t="shared" si="5"/>
        <v>0</v>
      </c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hidden="1" customHeight="1">
      <c r="A33" s="9"/>
      <c r="B33" s="180"/>
      <c r="C33" s="144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72"/>
      <c r="O33" s="140"/>
      <c r="P33" s="166">
        <f t="shared" si="5"/>
        <v>0</v>
      </c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hidden="1" customHeight="1">
      <c r="A34" s="9"/>
      <c r="B34" s="180"/>
      <c r="C34" s="158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60"/>
      <c r="O34" s="140"/>
      <c r="P34" s="166">
        <f t="shared" si="5"/>
        <v>0</v>
      </c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8.0" customHeight="1">
      <c r="A35" s="9"/>
      <c r="B35" s="161" t="s">
        <v>53</v>
      </c>
      <c r="C35" s="163">
        <f t="shared" ref="C35:P35" si="6">SUM(C24:C34)</f>
        <v>0</v>
      </c>
      <c r="D35" s="163">
        <f t="shared" si="6"/>
        <v>0</v>
      </c>
      <c r="E35" s="163">
        <f t="shared" si="6"/>
        <v>0</v>
      </c>
      <c r="F35" s="163">
        <f t="shared" si="6"/>
        <v>0</v>
      </c>
      <c r="G35" s="163">
        <f t="shared" si="6"/>
        <v>0</v>
      </c>
      <c r="H35" s="163">
        <f t="shared" si="6"/>
        <v>1</v>
      </c>
      <c r="I35" s="163">
        <f t="shared" si="6"/>
        <v>0</v>
      </c>
      <c r="J35" s="163">
        <f t="shared" si="6"/>
        <v>2</v>
      </c>
      <c r="K35" s="163">
        <f t="shared" si="6"/>
        <v>0</v>
      </c>
      <c r="L35" s="163">
        <f t="shared" si="6"/>
        <v>0</v>
      </c>
      <c r="M35" s="163">
        <f t="shared" si="6"/>
        <v>0</v>
      </c>
      <c r="N35" s="163">
        <f t="shared" si="6"/>
        <v>0</v>
      </c>
      <c r="O35" s="163">
        <f t="shared" si="6"/>
        <v>0</v>
      </c>
      <c r="P35" s="166">
        <f t="shared" si="6"/>
        <v>3</v>
      </c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4.25" customHeight="1">
      <c r="A36" s="9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21.0" hidden="1" customHeight="1">
      <c r="A37" s="10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4.25" hidden="1" customHeight="1">
      <c r="A38" s="9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4.25" hidden="1" customHeight="1">
      <c r="A39" s="9"/>
      <c r="B39" s="122" t="s">
        <v>77</v>
      </c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6.75" hidden="1" customHeight="1">
      <c r="A40" s="9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8.0" hidden="1" customHeight="1">
      <c r="A41" s="82"/>
      <c r="B41" s="175" t="s">
        <v>78</v>
      </c>
      <c r="C41" s="125">
        <f t="shared" ref="C41:N41" si="7">C7</f>
        <v>44830</v>
      </c>
      <c r="D41" s="125">
        <f t="shared" si="7"/>
        <v>44837</v>
      </c>
      <c r="E41" s="125">
        <f t="shared" si="7"/>
        <v>44851</v>
      </c>
      <c r="F41" s="125">
        <f t="shared" si="7"/>
        <v>44858</v>
      </c>
      <c r="G41" s="125">
        <f t="shared" si="7"/>
        <v>44865</v>
      </c>
      <c r="H41" s="125">
        <f t="shared" si="7"/>
        <v>44872</v>
      </c>
      <c r="I41" s="125">
        <f t="shared" si="7"/>
        <v>44879</v>
      </c>
      <c r="J41" s="125">
        <f t="shared" si="7"/>
        <v>44886</v>
      </c>
      <c r="K41" s="125">
        <f t="shared" si="7"/>
        <v>44893</v>
      </c>
      <c r="L41" s="125">
        <f t="shared" si="7"/>
        <v>44900</v>
      </c>
      <c r="M41" s="125">
        <f t="shared" si="7"/>
        <v>44907</v>
      </c>
      <c r="N41" s="125">
        <f t="shared" si="7"/>
        <v>44914</v>
      </c>
      <c r="O41" s="125">
        <v>39804.0</v>
      </c>
      <c r="P41" s="176" t="s">
        <v>74</v>
      </c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hidden="1" customHeight="1">
      <c r="A42" s="9"/>
      <c r="B42" s="124" t="s">
        <v>79</v>
      </c>
      <c r="C42" s="164"/>
      <c r="D42" s="131"/>
      <c r="E42" s="131"/>
      <c r="F42" s="131"/>
      <c r="G42" s="131"/>
      <c r="H42" s="131"/>
      <c r="I42" s="131"/>
      <c r="J42" s="131"/>
      <c r="K42" s="131"/>
      <c r="L42" s="131"/>
      <c r="M42" s="131"/>
      <c r="N42" s="171"/>
      <c r="O42" s="140"/>
      <c r="P42" s="166">
        <f t="shared" ref="P42:P45" si="8">SUM(C42:O42)</f>
        <v>0</v>
      </c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hidden="1" customHeight="1">
      <c r="A43" s="9"/>
      <c r="B43" s="124" t="s">
        <v>80</v>
      </c>
      <c r="C43" s="144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72"/>
      <c r="O43" s="140"/>
      <c r="P43" s="166">
        <f t="shared" si="8"/>
        <v>0</v>
      </c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hidden="1" customHeight="1">
      <c r="A44" s="9"/>
      <c r="B44" s="124" t="s">
        <v>81</v>
      </c>
      <c r="C44" s="158"/>
      <c r="D44" s="159"/>
      <c r="E44" s="159"/>
      <c r="F44" s="159"/>
      <c r="G44" s="159"/>
      <c r="H44" s="159"/>
      <c r="I44" s="159"/>
      <c r="J44" s="159"/>
      <c r="K44" s="159"/>
      <c r="L44" s="159"/>
      <c r="M44" s="159"/>
      <c r="N44" s="160"/>
      <c r="O44" s="140"/>
      <c r="P44" s="166">
        <f t="shared" si="8"/>
        <v>0</v>
      </c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hidden="1" customHeight="1">
      <c r="A45" s="9"/>
      <c r="B45" s="124" t="s">
        <v>75</v>
      </c>
      <c r="C45" s="149"/>
      <c r="D45" s="150"/>
      <c r="E45" s="150">
        <v>0.0</v>
      </c>
      <c r="F45" s="150"/>
      <c r="G45" s="150"/>
      <c r="H45" s="150"/>
      <c r="I45" s="150"/>
      <c r="J45" s="150"/>
      <c r="K45" s="150"/>
      <c r="L45" s="150"/>
      <c r="M45" s="150"/>
      <c r="N45" s="173"/>
      <c r="O45" s="140"/>
      <c r="P45" s="143">
        <f t="shared" si="8"/>
        <v>0</v>
      </c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4.25" hidden="1" customHeight="1">
      <c r="A46" s="9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4.25" customHeight="1">
      <c r="A47" s="9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4.25" customHeight="1">
      <c r="A48" s="9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4.25" customHeight="1">
      <c r="A49" s="9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4.25" customHeight="1">
      <c r="A50" s="9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4.25" customHeight="1">
      <c r="A51" s="9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4.25" customHeight="1">
      <c r="A52" s="9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4.25" customHeight="1">
      <c r="A53" s="9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4.25" customHeight="1">
      <c r="A54" s="9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4.25" customHeight="1">
      <c r="A55" s="9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4.25" customHeight="1">
      <c r="A56" s="9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4.25" customHeight="1">
      <c r="A57" s="9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4.25" customHeight="1">
      <c r="A58" s="9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4.25" customHeight="1">
      <c r="A59" s="9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4.25" customHeight="1">
      <c r="A60" s="9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4.25" customHeight="1">
      <c r="A61" s="9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4.25" customHeight="1">
      <c r="A62" s="9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4.25" customHeight="1">
      <c r="A63" s="9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4.25" customHeight="1">
      <c r="A64" s="9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4.25" customHeight="1">
      <c r="A65" s="9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4.25" customHeight="1">
      <c r="A66" s="9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4.25" customHeight="1">
      <c r="A67" s="9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4.25" customHeight="1">
      <c r="A68" s="9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4.25" customHeight="1">
      <c r="A69" s="9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4.25" customHeight="1">
      <c r="A70" s="9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4.25" customHeight="1">
      <c r="A71" s="9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4.25" customHeight="1">
      <c r="A72" s="9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4.25" customHeight="1">
      <c r="A73" s="9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4.25" customHeight="1">
      <c r="A74" s="9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4.25" customHeight="1">
      <c r="A75" s="9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4.25" customHeight="1">
      <c r="A76" s="9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4.25" customHeight="1">
      <c r="A77" s="9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4.25" customHeight="1">
      <c r="A78" s="9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4.25" customHeight="1">
      <c r="A79" s="9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4.25" customHeight="1">
      <c r="A80" s="9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4.25" customHeight="1">
      <c r="A81" s="9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4.25" customHeight="1">
      <c r="A82" s="9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4.25" customHeight="1">
      <c r="A83" s="9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4.25" customHeight="1">
      <c r="A84" s="9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4.25" customHeight="1">
      <c r="A85" s="9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4.25" customHeight="1">
      <c r="A86" s="9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4.25" customHeight="1">
      <c r="A87" s="9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4.25" customHeight="1">
      <c r="A88" s="9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4.25" customHeight="1">
      <c r="A89" s="9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4.25" customHeight="1">
      <c r="A90" s="9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4.25" customHeight="1">
      <c r="A91" s="9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4.25" customHeight="1">
      <c r="A92" s="9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4.25" customHeight="1">
      <c r="A93" s="9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4.25" customHeight="1">
      <c r="A94" s="9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4.25" customHeight="1">
      <c r="A95" s="9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4.25" customHeight="1">
      <c r="A96" s="9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4.25" customHeight="1">
      <c r="A97" s="9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4.25" customHeight="1">
      <c r="A98" s="9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4.25" customHeight="1">
      <c r="A99" s="9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4.25" customHeight="1">
      <c r="A100" s="9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4.25" customHeight="1">
      <c r="A101" s="9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4.25" customHeight="1">
      <c r="A102" s="9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4.25" customHeight="1">
      <c r="A103" s="9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4.25" customHeight="1">
      <c r="A104" s="9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4.25" customHeight="1">
      <c r="A105" s="9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4.25" customHeight="1">
      <c r="A106" s="9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4.25" customHeight="1">
      <c r="A107" s="9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4.25" customHeight="1">
      <c r="A108" s="9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4.25" customHeight="1">
      <c r="A109" s="9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4.25" customHeight="1">
      <c r="A110" s="9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4.25" customHeight="1">
      <c r="A111" s="9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4.25" customHeight="1">
      <c r="A112" s="9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4.25" customHeight="1">
      <c r="A113" s="9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4.25" customHeight="1">
      <c r="A114" s="9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4.25" customHeight="1">
      <c r="A115" s="9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4.25" customHeight="1">
      <c r="A116" s="9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4.25" customHeight="1">
      <c r="A117" s="9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4.25" customHeight="1">
      <c r="A118" s="9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4.25" customHeight="1">
      <c r="A119" s="9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4.25" customHeight="1">
      <c r="A120" s="9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4.25" customHeight="1">
      <c r="A121" s="9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4.25" customHeight="1">
      <c r="A122" s="9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4.25" customHeight="1">
      <c r="A123" s="9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4.25" customHeight="1">
      <c r="A124" s="9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4.25" customHeight="1">
      <c r="A125" s="9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4.25" customHeight="1">
      <c r="A126" s="9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4.25" customHeight="1">
      <c r="A127" s="9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4.25" customHeight="1">
      <c r="A128" s="9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4.25" customHeight="1">
      <c r="A129" s="9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4.25" customHeight="1">
      <c r="A130" s="9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4.25" customHeight="1">
      <c r="A131" s="9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4.25" customHeight="1">
      <c r="A132" s="9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4.25" customHeight="1">
      <c r="A133" s="9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4.25" customHeight="1">
      <c r="A134" s="9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4.25" customHeight="1">
      <c r="A135" s="9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4.25" customHeight="1">
      <c r="A136" s="9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4.25" customHeight="1">
      <c r="A137" s="9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4.25" customHeight="1">
      <c r="A138" s="9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4.25" customHeight="1">
      <c r="A139" s="9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4.25" customHeight="1">
      <c r="A140" s="9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4.25" customHeight="1">
      <c r="A141" s="9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4.25" customHeight="1">
      <c r="A142" s="9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4.25" customHeight="1">
      <c r="A143" s="9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4.25" customHeight="1">
      <c r="A144" s="9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4.25" customHeight="1">
      <c r="A145" s="9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4.25" customHeight="1">
      <c r="A146" s="9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4.25" customHeight="1">
      <c r="A147" s="9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4.25" customHeight="1">
      <c r="A148" s="9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4.25" customHeight="1">
      <c r="A149" s="9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4.25" customHeight="1">
      <c r="A150" s="9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4.25" customHeight="1">
      <c r="A151" s="9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4.25" customHeight="1">
      <c r="A152" s="9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4.25" customHeight="1">
      <c r="A153" s="9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4.25" customHeight="1">
      <c r="A154" s="9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4.25" customHeight="1">
      <c r="A155" s="9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4.25" customHeight="1">
      <c r="A156" s="9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4.25" customHeight="1">
      <c r="A157" s="9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4.25" customHeight="1">
      <c r="A158" s="9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4.25" customHeight="1">
      <c r="A159" s="9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4.25" customHeight="1">
      <c r="A160" s="9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4.25" customHeight="1">
      <c r="A161" s="9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4.25" customHeight="1">
      <c r="A162" s="9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4.25" customHeight="1">
      <c r="A163" s="9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4.25" customHeight="1">
      <c r="A164" s="9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4.25" customHeight="1">
      <c r="A165" s="9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4.25" customHeight="1">
      <c r="A166" s="9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4.25" customHeight="1">
      <c r="A167" s="9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4.25" customHeight="1">
      <c r="A168" s="9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4.25" customHeight="1">
      <c r="A169" s="9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4.25" customHeight="1">
      <c r="A170" s="9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4.25" customHeight="1">
      <c r="A171" s="9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4.25" customHeight="1">
      <c r="A172" s="9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4.25" customHeight="1">
      <c r="A173" s="9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4.25" customHeight="1">
      <c r="A174" s="9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4.25" customHeight="1">
      <c r="A175" s="9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4.25" customHeight="1">
      <c r="A176" s="9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4.25" customHeight="1">
      <c r="A177" s="9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4.25" customHeight="1">
      <c r="A178" s="9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4.25" customHeight="1">
      <c r="A179" s="9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4.25" customHeight="1">
      <c r="A180" s="9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4.25" customHeight="1">
      <c r="A181" s="9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4.25" customHeight="1">
      <c r="A182" s="9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4.25" customHeight="1">
      <c r="A183" s="9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4.25" customHeight="1">
      <c r="A184" s="9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4.25" customHeight="1">
      <c r="A185" s="9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4.25" customHeight="1">
      <c r="A186" s="9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4.25" customHeight="1">
      <c r="A187" s="9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4.25" customHeight="1">
      <c r="A188" s="9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4.25" customHeight="1">
      <c r="A189" s="9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4.25" customHeight="1">
      <c r="A190" s="9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4.25" customHeight="1">
      <c r="A191" s="9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4.25" customHeight="1">
      <c r="A192" s="9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4.25" customHeight="1">
      <c r="A193" s="9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4.25" customHeight="1">
      <c r="A194" s="9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4.25" customHeight="1">
      <c r="A195" s="9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4.25" customHeight="1">
      <c r="A196" s="9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4.25" customHeight="1">
      <c r="A197" s="9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4.25" customHeight="1">
      <c r="A198" s="9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4.25" customHeight="1">
      <c r="A199" s="9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4.25" customHeight="1">
      <c r="A200" s="9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4.25" customHeight="1">
      <c r="A201" s="9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4.25" customHeight="1">
      <c r="A202" s="9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4.25" customHeight="1">
      <c r="A203" s="9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4.25" customHeight="1">
      <c r="A204" s="9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4.25" customHeight="1">
      <c r="A205" s="9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4.25" customHeight="1">
      <c r="A206" s="9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4.25" customHeight="1">
      <c r="A207" s="9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4.25" customHeight="1">
      <c r="A208" s="9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4.25" customHeight="1">
      <c r="A209" s="9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4.25" customHeight="1">
      <c r="A210" s="9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4.25" customHeight="1">
      <c r="A211" s="9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4.25" customHeight="1">
      <c r="A212" s="9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4.25" customHeight="1">
      <c r="A213" s="9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4.25" customHeight="1">
      <c r="A214" s="9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4.25" customHeight="1">
      <c r="A215" s="9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4.25" customHeight="1">
      <c r="A216" s="9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4.25" customHeight="1">
      <c r="A217" s="9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4.25" customHeight="1">
      <c r="A218" s="9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4.25" customHeight="1">
      <c r="A219" s="9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4.25" customHeight="1">
      <c r="A220" s="9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4.25" customHeight="1">
      <c r="A221" s="9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4.25" customHeight="1">
      <c r="A222" s="9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4.25" customHeight="1">
      <c r="A223" s="9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4.25" customHeight="1">
      <c r="A224" s="9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4.25" customHeight="1">
      <c r="A225" s="9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4.25" customHeight="1">
      <c r="A226" s="9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4.25" customHeight="1">
      <c r="A227" s="9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4.25" customHeight="1">
      <c r="A228" s="9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4.25" customHeight="1">
      <c r="A229" s="9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4.25" customHeight="1">
      <c r="A230" s="9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4.25" customHeight="1">
      <c r="A231" s="9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4.25" customHeight="1">
      <c r="A232" s="9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4.25" customHeight="1">
      <c r="A233" s="9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4.25" customHeight="1">
      <c r="A234" s="9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4.25" customHeight="1">
      <c r="A235" s="9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4.25" customHeight="1">
      <c r="A236" s="9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4.25" customHeight="1">
      <c r="A237" s="9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4.25" customHeight="1">
      <c r="A238" s="9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4.25" customHeight="1">
      <c r="A239" s="9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4.25" customHeight="1">
      <c r="A240" s="9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4.25" customHeight="1">
      <c r="A241" s="9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4.25" customHeight="1">
      <c r="A242" s="9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4.25" customHeight="1">
      <c r="A243" s="9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4.25" customHeight="1">
      <c r="A244" s="9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4.25" customHeight="1">
      <c r="A245" s="9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4.25" customHeight="1">
      <c r="A246" s="9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4.25" customHeight="1">
      <c r="A247" s="9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4.25" customHeight="1">
      <c r="A248" s="9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4.25" customHeight="1">
      <c r="A249" s="9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4.25" customHeight="1">
      <c r="A250" s="9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4.25" customHeight="1">
      <c r="A251" s="9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4.25" customHeight="1">
      <c r="A252" s="9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4.25" customHeight="1">
      <c r="A253" s="9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4.25" customHeight="1">
      <c r="A254" s="9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4.25" customHeight="1">
      <c r="A255" s="9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4.25" customHeight="1">
      <c r="A256" s="9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4.25" customHeight="1">
      <c r="A257" s="9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4.25" customHeight="1">
      <c r="A258" s="9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4.25" customHeight="1">
      <c r="A259" s="9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4.25" customHeight="1">
      <c r="A260" s="9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4.25" customHeight="1">
      <c r="A261" s="9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4.25" customHeight="1">
      <c r="A262" s="9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4.25" customHeight="1">
      <c r="A263" s="9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4.25" customHeight="1">
      <c r="A264" s="9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4.25" customHeight="1">
      <c r="A265" s="9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4.25" customHeight="1">
      <c r="A266" s="9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4.25" customHeight="1">
      <c r="A267" s="9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4.25" customHeight="1">
      <c r="A268" s="9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4.25" customHeight="1">
      <c r="A269" s="9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4.25" customHeight="1">
      <c r="A270" s="9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4.25" customHeight="1">
      <c r="A271" s="9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4.25" customHeight="1">
      <c r="A272" s="9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4.25" customHeight="1">
      <c r="A273" s="9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4.25" customHeight="1">
      <c r="A274" s="9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4.25" customHeight="1">
      <c r="A275" s="9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4.25" customHeight="1">
      <c r="A276" s="9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4.25" customHeight="1">
      <c r="A277" s="9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4.25" customHeight="1">
      <c r="A278" s="9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4.25" customHeight="1">
      <c r="A279" s="9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4.25" customHeight="1">
      <c r="A280" s="9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4.25" customHeight="1">
      <c r="A281" s="9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4.25" customHeight="1">
      <c r="A282" s="9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4.25" customHeight="1">
      <c r="A283" s="9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4.25" customHeight="1">
      <c r="A284" s="9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4.25" customHeight="1">
      <c r="A285" s="9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4.25" customHeight="1">
      <c r="A286" s="9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4.25" customHeight="1">
      <c r="A287" s="9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4.25" customHeight="1">
      <c r="A288" s="9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4.25" customHeight="1">
      <c r="A289" s="9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4.25" customHeight="1">
      <c r="A290" s="9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4.25" customHeight="1">
      <c r="A291" s="9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4.25" customHeight="1">
      <c r="A292" s="9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4.25" customHeight="1">
      <c r="A293" s="9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4.25" customHeight="1">
      <c r="A294" s="9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4.25" customHeight="1">
      <c r="A295" s="9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4.25" customHeight="1">
      <c r="A296" s="9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4.25" customHeight="1">
      <c r="A297" s="9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4.25" customHeight="1">
      <c r="A298" s="9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4.25" customHeight="1">
      <c r="A299" s="9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4.25" customHeight="1">
      <c r="A300" s="9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4.25" customHeight="1">
      <c r="A301" s="9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4.25" customHeight="1">
      <c r="A302" s="9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4.25" customHeight="1">
      <c r="A303" s="9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4.25" customHeight="1">
      <c r="A304" s="9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4.25" customHeight="1">
      <c r="A305" s="9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4.25" customHeight="1">
      <c r="A306" s="9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4.25" customHeight="1">
      <c r="A307" s="9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4.25" customHeight="1">
      <c r="A308" s="9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4.25" customHeight="1">
      <c r="A309" s="9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4.25" customHeight="1">
      <c r="A310" s="9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4.25" customHeight="1">
      <c r="A311" s="9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4.25" customHeight="1">
      <c r="A312" s="9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4.25" customHeight="1">
      <c r="A313" s="9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4.25" customHeight="1">
      <c r="A314" s="9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4.25" customHeight="1">
      <c r="A315" s="9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4.25" customHeight="1">
      <c r="A316" s="9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4.25" customHeight="1">
      <c r="A317" s="9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4.25" customHeight="1">
      <c r="A318" s="9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4.25" customHeight="1">
      <c r="A319" s="9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4.25" customHeight="1">
      <c r="A320" s="9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4.25" customHeight="1">
      <c r="A321" s="9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4.25" customHeight="1">
      <c r="A322" s="9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4.25" customHeight="1">
      <c r="A323" s="9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4.25" customHeight="1">
      <c r="A324" s="9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4.25" customHeight="1">
      <c r="A325" s="9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4.25" customHeight="1">
      <c r="A326" s="9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4.25" customHeight="1">
      <c r="A327" s="9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4.25" customHeight="1">
      <c r="A328" s="9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4.25" customHeight="1">
      <c r="A329" s="9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4.25" customHeight="1">
      <c r="A330" s="9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4.25" customHeight="1">
      <c r="A331" s="9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4.25" customHeight="1">
      <c r="A332" s="9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4.25" customHeight="1">
      <c r="A333" s="9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4.25" customHeight="1">
      <c r="A334" s="9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4.25" customHeight="1">
      <c r="A335" s="9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4.25" customHeight="1">
      <c r="A336" s="9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4.25" customHeight="1">
      <c r="A337" s="9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4.25" customHeight="1">
      <c r="A338" s="9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4.25" customHeight="1">
      <c r="A339" s="9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4.25" customHeight="1">
      <c r="A340" s="9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4.25" customHeight="1">
      <c r="A341" s="9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4.25" customHeight="1">
      <c r="A342" s="9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4.25" customHeight="1">
      <c r="A343" s="9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4.25" customHeight="1">
      <c r="A344" s="9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4.25" customHeight="1">
      <c r="A345" s="9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4.25" customHeight="1">
      <c r="A346" s="9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4.25" customHeight="1">
      <c r="A347" s="9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4.25" customHeight="1">
      <c r="A348" s="9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4.25" customHeight="1">
      <c r="A349" s="9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4.25" customHeight="1">
      <c r="A350" s="9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4.25" customHeight="1">
      <c r="A351" s="9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4.25" customHeight="1">
      <c r="A352" s="9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4.25" customHeight="1">
      <c r="A353" s="9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4.25" customHeight="1">
      <c r="A354" s="9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4.25" customHeight="1">
      <c r="A355" s="9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4.25" customHeight="1">
      <c r="A356" s="9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4.25" customHeight="1">
      <c r="A357" s="9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4.25" customHeight="1">
      <c r="A358" s="9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4.25" customHeight="1">
      <c r="A359" s="9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4.25" customHeight="1">
      <c r="A360" s="9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4.25" customHeight="1">
      <c r="A361" s="9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4.25" customHeight="1">
      <c r="A362" s="9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4.25" customHeight="1">
      <c r="A363" s="9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4.25" customHeight="1">
      <c r="A364" s="9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4.25" customHeight="1">
      <c r="A365" s="9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4.25" customHeight="1">
      <c r="A366" s="9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4.25" customHeight="1">
      <c r="A367" s="9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4.25" customHeight="1">
      <c r="A368" s="9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4.25" customHeight="1">
      <c r="A369" s="9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4.25" customHeight="1">
      <c r="A370" s="9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4.25" customHeight="1">
      <c r="A371" s="9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4.25" customHeight="1">
      <c r="A372" s="9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4.25" customHeight="1">
      <c r="A373" s="9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4.25" customHeight="1">
      <c r="A374" s="9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4.25" customHeight="1">
      <c r="A375" s="9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4.25" customHeight="1">
      <c r="A376" s="9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4.25" customHeight="1">
      <c r="A377" s="9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4.25" customHeight="1">
      <c r="A378" s="9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4.25" customHeight="1">
      <c r="A379" s="9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4.25" customHeight="1">
      <c r="A380" s="9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4.25" customHeight="1">
      <c r="A381" s="9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4.25" customHeight="1">
      <c r="A382" s="9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4.25" customHeight="1">
      <c r="A383" s="9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4.25" customHeight="1">
      <c r="A384" s="9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4.25" customHeight="1">
      <c r="A385" s="9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4.25" customHeight="1">
      <c r="A386" s="9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4.25" customHeight="1">
      <c r="A387" s="9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4.25" customHeight="1">
      <c r="A388" s="9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4.25" customHeight="1">
      <c r="A389" s="9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4.25" customHeight="1">
      <c r="A390" s="9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4.25" customHeight="1">
      <c r="A391" s="9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4.25" customHeight="1">
      <c r="A392" s="9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4.25" customHeight="1">
      <c r="A393" s="9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4.25" customHeight="1">
      <c r="A394" s="9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4.25" customHeight="1">
      <c r="A395" s="9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4.25" customHeight="1">
      <c r="A396" s="9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4.25" customHeight="1">
      <c r="A397" s="9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4.25" customHeight="1">
      <c r="A398" s="9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4.25" customHeight="1">
      <c r="A399" s="9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4.25" customHeight="1">
      <c r="A400" s="9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4.25" customHeight="1">
      <c r="A401" s="9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4.25" customHeight="1">
      <c r="A402" s="9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4.25" customHeight="1">
      <c r="A403" s="9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4.25" customHeight="1">
      <c r="A404" s="9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4.25" customHeight="1">
      <c r="A405" s="9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4.25" customHeight="1">
      <c r="A406" s="9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4.25" customHeight="1">
      <c r="A407" s="9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4.25" customHeight="1">
      <c r="A408" s="9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4.25" customHeight="1">
      <c r="A409" s="9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4.25" customHeight="1">
      <c r="A410" s="9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4.25" customHeight="1">
      <c r="A411" s="9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4.25" customHeight="1">
      <c r="A412" s="9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4.25" customHeight="1">
      <c r="A413" s="9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4.25" customHeight="1">
      <c r="A414" s="9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4.25" customHeight="1">
      <c r="A415" s="9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4.25" customHeight="1">
      <c r="A416" s="9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4.25" customHeight="1">
      <c r="A417" s="9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4.25" customHeight="1">
      <c r="A418" s="9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4.25" customHeight="1">
      <c r="A419" s="9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4.25" customHeight="1">
      <c r="A420" s="9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4.25" customHeight="1">
      <c r="A421" s="9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4.25" customHeight="1">
      <c r="A422" s="9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4.25" customHeight="1">
      <c r="A423" s="9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4.25" customHeight="1">
      <c r="A424" s="9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4.25" customHeight="1">
      <c r="A425" s="9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4.25" customHeight="1">
      <c r="A426" s="9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4.25" customHeight="1">
      <c r="A427" s="9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4.25" customHeight="1">
      <c r="A428" s="9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4.25" customHeight="1">
      <c r="A429" s="9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4.25" customHeight="1">
      <c r="A430" s="9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4.25" customHeight="1">
      <c r="A431" s="9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4.25" customHeight="1">
      <c r="A432" s="9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4.25" customHeight="1">
      <c r="A433" s="9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4.25" customHeight="1">
      <c r="A434" s="9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4.25" customHeight="1">
      <c r="A435" s="9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4.25" customHeight="1">
      <c r="A436" s="9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4.25" customHeight="1">
      <c r="A437" s="9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4.25" customHeight="1">
      <c r="A438" s="9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4.25" customHeight="1">
      <c r="A439" s="9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4.25" customHeight="1">
      <c r="A440" s="9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4.25" customHeight="1">
      <c r="A441" s="9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4.25" customHeight="1">
      <c r="A442" s="9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4.25" customHeight="1">
      <c r="A443" s="9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4.25" customHeight="1">
      <c r="A444" s="9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4.25" customHeight="1">
      <c r="A445" s="9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4.25" customHeight="1">
      <c r="A446" s="9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4.25" customHeight="1">
      <c r="A447" s="9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4.25" customHeight="1">
      <c r="A448" s="9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4.25" customHeight="1">
      <c r="A449" s="9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4.25" customHeight="1">
      <c r="A450" s="9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4.25" customHeight="1">
      <c r="A451" s="9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4.25" customHeight="1">
      <c r="A452" s="9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4.25" customHeight="1">
      <c r="A453" s="9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4.25" customHeight="1">
      <c r="A454" s="9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4.25" customHeight="1">
      <c r="A455" s="9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4.25" customHeight="1">
      <c r="A456" s="9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4.25" customHeight="1">
      <c r="A457" s="9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4.25" customHeight="1">
      <c r="A458" s="9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4.25" customHeight="1">
      <c r="A459" s="9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4.25" customHeight="1">
      <c r="A460" s="9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4.25" customHeight="1">
      <c r="A461" s="9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4.25" customHeight="1">
      <c r="A462" s="9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4.25" customHeight="1">
      <c r="A463" s="9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4.25" customHeight="1">
      <c r="A464" s="9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4.25" customHeight="1">
      <c r="A465" s="9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4.25" customHeight="1">
      <c r="A466" s="9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4.25" customHeight="1">
      <c r="A467" s="9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4.25" customHeight="1">
      <c r="A468" s="9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4.25" customHeight="1">
      <c r="A469" s="9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4.25" customHeight="1">
      <c r="A470" s="9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4.25" customHeight="1">
      <c r="A471" s="9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4.25" customHeight="1">
      <c r="A472" s="9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4.25" customHeight="1">
      <c r="A473" s="9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4.25" customHeight="1">
      <c r="A474" s="9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4.25" customHeight="1">
      <c r="A475" s="9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4.25" customHeight="1">
      <c r="A476" s="9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4.25" customHeight="1">
      <c r="A477" s="9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4.25" customHeight="1">
      <c r="A478" s="9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4.25" customHeight="1">
      <c r="A479" s="9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4.25" customHeight="1">
      <c r="A480" s="9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4.25" customHeight="1">
      <c r="A481" s="9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4.25" customHeight="1">
      <c r="A482" s="9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4.25" customHeight="1">
      <c r="A483" s="9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4.25" customHeight="1">
      <c r="A484" s="9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4.25" customHeight="1">
      <c r="A485" s="9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4.25" customHeight="1">
      <c r="A486" s="9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4.25" customHeight="1">
      <c r="A487" s="9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4.25" customHeight="1">
      <c r="A488" s="9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4.25" customHeight="1">
      <c r="A489" s="9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4.25" customHeight="1">
      <c r="A490" s="9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4.25" customHeight="1">
      <c r="A491" s="9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4.25" customHeight="1">
      <c r="A492" s="9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4.25" customHeight="1">
      <c r="A493" s="9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4.25" customHeight="1">
      <c r="A494" s="9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4.25" customHeight="1">
      <c r="A495" s="9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4.25" customHeight="1">
      <c r="A496" s="9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4.25" customHeight="1">
      <c r="A497" s="9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4.25" customHeight="1">
      <c r="A498" s="9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4.25" customHeight="1">
      <c r="A499" s="9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4.25" customHeight="1">
      <c r="A500" s="9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4.25" customHeight="1">
      <c r="A501" s="9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4.25" customHeight="1">
      <c r="A502" s="9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4.25" customHeight="1">
      <c r="A503" s="9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4.25" customHeight="1">
      <c r="A504" s="9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4.25" customHeight="1">
      <c r="A505" s="9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4.25" customHeight="1">
      <c r="A506" s="9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4.25" customHeight="1">
      <c r="A507" s="9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4.25" customHeight="1">
      <c r="A508" s="9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4.25" customHeight="1">
      <c r="A509" s="9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4.25" customHeight="1">
      <c r="A510" s="9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4.25" customHeight="1">
      <c r="A511" s="9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4.25" customHeight="1">
      <c r="A512" s="9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4.25" customHeight="1">
      <c r="A513" s="9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4.25" customHeight="1">
      <c r="A514" s="9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4.25" customHeight="1">
      <c r="A515" s="9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4.25" customHeight="1">
      <c r="A516" s="9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4.25" customHeight="1">
      <c r="A517" s="9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4.25" customHeight="1">
      <c r="A518" s="9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4.25" customHeight="1">
      <c r="A519" s="9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4.25" customHeight="1">
      <c r="A520" s="9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4.25" customHeight="1">
      <c r="A521" s="9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4.25" customHeight="1">
      <c r="A522" s="9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4.25" customHeight="1">
      <c r="A523" s="9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4.25" customHeight="1">
      <c r="A524" s="9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4.25" customHeight="1">
      <c r="A525" s="9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4.25" customHeight="1">
      <c r="A526" s="9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4.25" customHeight="1">
      <c r="A527" s="9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4.25" customHeight="1">
      <c r="A528" s="9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4.25" customHeight="1">
      <c r="A529" s="9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4.25" customHeight="1">
      <c r="A530" s="9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4.25" customHeight="1">
      <c r="A531" s="9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4.25" customHeight="1">
      <c r="A532" s="9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4.25" customHeight="1">
      <c r="A533" s="9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4.25" customHeight="1">
      <c r="A534" s="9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4.25" customHeight="1">
      <c r="A535" s="9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4.25" customHeight="1">
      <c r="A536" s="9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4.25" customHeight="1">
      <c r="A537" s="9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4.25" customHeight="1">
      <c r="A538" s="9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4.25" customHeight="1">
      <c r="A539" s="9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4.25" customHeight="1">
      <c r="A540" s="9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4.25" customHeight="1">
      <c r="A541" s="9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4.25" customHeight="1">
      <c r="A542" s="9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4.25" customHeight="1">
      <c r="A543" s="9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4.25" customHeight="1">
      <c r="A544" s="9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4.25" customHeight="1">
      <c r="A545" s="9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4.25" customHeight="1">
      <c r="A546" s="9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4.25" customHeight="1">
      <c r="A547" s="9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4.25" customHeight="1">
      <c r="A548" s="9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4.25" customHeight="1">
      <c r="A549" s="9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4.25" customHeight="1">
      <c r="A550" s="9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4.25" customHeight="1">
      <c r="A551" s="9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4.25" customHeight="1">
      <c r="A552" s="9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4.25" customHeight="1">
      <c r="A553" s="9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4.25" customHeight="1">
      <c r="A554" s="9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4.25" customHeight="1">
      <c r="A555" s="9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4.25" customHeight="1">
      <c r="A556" s="9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4.25" customHeight="1">
      <c r="A557" s="9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4.25" customHeight="1">
      <c r="A558" s="9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4.25" customHeight="1">
      <c r="A559" s="9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4.25" customHeight="1">
      <c r="A560" s="9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4.25" customHeight="1">
      <c r="A561" s="9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4.25" customHeight="1">
      <c r="A562" s="9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4.25" customHeight="1">
      <c r="A563" s="9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4.25" customHeight="1">
      <c r="A564" s="9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4.25" customHeight="1">
      <c r="A565" s="9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4.25" customHeight="1">
      <c r="A566" s="9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4.25" customHeight="1">
      <c r="A567" s="9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4.25" customHeight="1">
      <c r="A568" s="9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4.25" customHeight="1">
      <c r="A569" s="9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4.25" customHeight="1">
      <c r="A570" s="9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4.25" customHeight="1">
      <c r="A571" s="9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4.25" customHeight="1">
      <c r="A572" s="9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4.25" customHeight="1">
      <c r="A573" s="9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4.25" customHeight="1">
      <c r="A574" s="9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4.25" customHeight="1">
      <c r="A575" s="9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4.25" customHeight="1">
      <c r="A576" s="9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4.25" customHeight="1">
      <c r="A577" s="9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4.25" customHeight="1">
      <c r="A578" s="9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4.25" customHeight="1">
      <c r="A579" s="9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4.25" customHeight="1">
      <c r="A580" s="9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4.25" customHeight="1">
      <c r="A581" s="9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4.25" customHeight="1">
      <c r="A582" s="9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4.25" customHeight="1">
      <c r="A583" s="9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4.25" customHeight="1">
      <c r="A584" s="9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4.25" customHeight="1">
      <c r="A585" s="9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4.25" customHeight="1">
      <c r="A586" s="9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4.25" customHeight="1">
      <c r="A587" s="9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4.25" customHeight="1">
      <c r="A588" s="9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4.25" customHeight="1">
      <c r="A589" s="9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4.25" customHeight="1">
      <c r="A590" s="9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4.25" customHeight="1">
      <c r="A591" s="9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4.25" customHeight="1">
      <c r="A592" s="9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4.25" customHeight="1">
      <c r="A593" s="9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4.25" customHeight="1">
      <c r="A594" s="9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4.25" customHeight="1">
      <c r="A595" s="9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4.25" customHeight="1">
      <c r="A596" s="9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4.25" customHeight="1">
      <c r="A597" s="9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4.25" customHeight="1">
      <c r="A598" s="9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4.25" customHeight="1">
      <c r="A599" s="9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4.25" customHeight="1">
      <c r="A600" s="9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4.25" customHeight="1">
      <c r="A601" s="9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4.25" customHeight="1">
      <c r="A602" s="9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4.25" customHeight="1">
      <c r="A603" s="9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4.25" customHeight="1">
      <c r="A604" s="9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4.25" customHeight="1">
      <c r="A605" s="9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4.25" customHeight="1">
      <c r="A606" s="9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4.25" customHeight="1">
      <c r="A607" s="9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4.25" customHeight="1">
      <c r="A608" s="9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4.25" customHeight="1">
      <c r="A609" s="9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4.25" customHeight="1">
      <c r="A610" s="9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4.25" customHeight="1">
      <c r="A611" s="9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4.25" customHeight="1">
      <c r="A612" s="9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4.25" customHeight="1">
      <c r="A613" s="9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4.25" customHeight="1">
      <c r="A614" s="9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4.25" customHeight="1">
      <c r="A615" s="9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4.25" customHeight="1">
      <c r="A616" s="9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4.25" customHeight="1">
      <c r="A617" s="9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4.25" customHeight="1">
      <c r="A618" s="9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4.25" customHeight="1">
      <c r="A619" s="9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4.25" customHeight="1">
      <c r="A620" s="9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4.25" customHeight="1">
      <c r="A621" s="9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4.25" customHeight="1">
      <c r="A622" s="9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4.25" customHeight="1">
      <c r="A623" s="9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4.25" customHeight="1">
      <c r="A624" s="9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4.25" customHeight="1">
      <c r="A625" s="9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4.25" customHeight="1">
      <c r="A626" s="9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4.25" customHeight="1">
      <c r="A627" s="9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4.25" customHeight="1">
      <c r="A628" s="9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4.25" customHeight="1">
      <c r="A629" s="9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4.25" customHeight="1">
      <c r="A630" s="9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4.25" customHeight="1">
      <c r="A631" s="9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4.25" customHeight="1">
      <c r="A632" s="9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4.25" customHeight="1">
      <c r="A633" s="9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4.25" customHeight="1">
      <c r="A634" s="9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4.25" customHeight="1">
      <c r="A635" s="9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4.25" customHeight="1">
      <c r="A636" s="9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4.25" customHeight="1">
      <c r="A637" s="9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4.25" customHeight="1">
      <c r="A638" s="9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4.25" customHeight="1">
      <c r="A639" s="9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4.25" customHeight="1">
      <c r="A640" s="9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4.25" customHeight="1">
      <c r="A641" s="9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4.25" customHeight="1">
      <c r="A642" s="9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4.25" customHeight="1">
      <c r="A643" s="9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4.25" customHeight="1">
      <c r="A644" s="9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4.25" customHeight="1">
      <c r="A645" s="9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4.25" customHeight="1">
      <c r="A646" s="9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4.25" customHeight="1">
      <c r="A647" s="9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4.25" customHeight="1">
      <c r="A648" s="9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4.25" customHeight="1">
      <c r="A649" s="9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4.25" customHeight="1">
      <c r="A650" s="9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4.25" customHeight="1">
      <c r="A651" s="9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4.25" customHeight="1">
      <c r="A652" s="9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4.25" customHeight="1">
      <c r="A653" s="9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4.25" customHeight="1">
      <c r="A654" s="9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4.25" customHeight="1">
      <c r="A655" s="9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4.25" customHeight="1">
      <c r="A656" s="9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4.25" customHeight="1">
      <c r="A657" s="9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4.25" customHeight="1">
      <c r="A658" s="9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4.25" customHeight="1">
      <c r="A659" s="9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4.25" customHeight="1">
      <c r="A660" s="9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4.25" customHeight="1">
      <c r="A661" s="9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4.25" customHeight="1">
      <c r="A662" s="9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4.25" customHeight="1">
      <c r="A663" s="9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4.25" customHeight="1">
      <c r="A664" s="9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4.25" customHeight="1">
      <c r="A665" s="9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4.25" customHeight="1">
      <c r="A666" s="9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4.25" customHeight="1">
      <c r="A667" s="9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4.25" customHeight="1">
      <c r="A668" s="9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4.25" customHeight="1">
      <c r="A669" s="9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4.25" customHeight="1">
      <c r="A670" s="9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4.25" customHeight="1">
      <c r="A671" s="9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4.25" customHeight="1">
      <c r="A672" s="9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4.25" customHeight="1">
      <c r="A673" s="9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4.25" customHeight="1">
      <c r="A674" s="9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4.25" customHeight="1">
      <c r="A675" s="9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4.25" customHeight="1">
      <c r="A676" s="9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4.25" customHeight="1">
      <c r="A677" s="9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4.25" customHeight="1">
      <c r="A678" s="9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4.25" customHeight="1">
      <c r="A679" s="9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4.25" customHeight="1">
      <c r="A680" s="9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4.25" customHeight="1">
      <c r="A681" s="9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4.25" customHeight="1">
      <c r="A682" s="9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4.25" customHeight="1">
      <c r="A683" s="9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4.25" customHeight="1">
      <c r="A684" s="9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4.25" customHeight="1">
      <c r="A685" s="9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4.25" customHeight="1">
      <c r="A686" s="9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4.25" customHeight="1">
      <c r="A687" s="9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4.25" customHeight="1">
      <c r="A688" s="9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4.25" customHeight="1">
      <c r="A689" s="9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4.25" customHeight="1">
      <c r="A690" s="9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4.25" customHeight="1">
      <c r="A691" s="9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4.25" customHeight="1">
      <c r="A692" s="9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4.25" customHeight="1">
      <c r="A693" s="9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4.25" customHeight="1">
      <c r="A694" s="9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4.25" customHeight="1">
      <c r="A695" s="9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4.25" customHeight="1">
      <c r="A696" s="9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4.25" customHeight="1">
      <c r="A697" s="9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4.25" customHeight="1">
      <c r="A698" s="9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4.25" customHeight="1">
      <c r="A699" s="9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4.25" customHeight="1">
      <c r="A700" s="9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4.25" customHeight="1">
      <c r="A701" s="9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4.25" customHeight="1">
      <c r="A702" s="9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4.25" customHeight="1">
      <c r="A703" s="9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4.25" customHeight="1">
      <c r="A704" s="9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4.25" customHeight="1">
      <c r="A705" s="9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4.25" customHeight="1">
      <c r="A706" s="9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4.25" customHeight="1">
      <c r="A707" s="9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4.25" customHeight="1">
      <c r="A708" s="9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4.25" customHeight="1">
      <c r="A709" s="9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4.25" customHeight="1">
      <c r="A710" s="9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4.25" customHeight="1">
      <c r="A711" s="9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4.25" customHeight="1">
      <c r="A712" s="9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4.25" customHeight="1">
      <c r="A713" s="9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4.25" customHeight="1">
      <c r="A714" s="9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4.25" customHeight="1">
      <c r="A715" s="9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4.25" customHeight="1">
      <c r="A716" s="9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4.25" customHeight="1">
      <c r="A717" s="9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4.25" customHeight="1">
      <c r="A718" s="9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4.25" customHeight="1">
      <c r="A719" s="9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4.25" customHeight="1">
      <c r="A720" s="9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4.25" customHeight="1">
      <c r="A721" s="9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4.25" customHeight="1">
      <c r="A722" s="9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4.25" customHeight="1">
      <c r="A723" s="9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4.25" customHeight="1">
      <c r="A724" s="9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4.25" customHeight="1">
      <c r="A725" s="9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4.25" customHeight="1">
      <c r="A726" s="9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4.25" customHeight="1">
      <c r="A727" s="9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4.25" customHeight="1">
      <c r="A728" s="9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4.25" customHeight="1">
      <c r="A729" s="9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4.25" customHeight="1">
      <c r="A730" s="9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4.25" customHeight="1">
      <c r="A731" s="9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4.25" customHeight="1">
      <c r="A732" s="9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4.25" customHeight="1">
      <c r="A733" s="9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4.25" customHeight="1">
      <c r="A734" s="9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4.25" customHeight="1">
      <c r="A735" s="9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4.25" customHeight="1">
      <c r="A736" s="9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4.25" customHeight="1">
      <c r="A737" s="9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4.25" customHeight="1">
      <c r="A738" s="9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4.25" customHeight="1">
      <c r="A739" s="9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4.25" customHeight="1">
      <c r="A740" s="9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4.25" customHeight="1">
      <c r="A741" s="9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4.25" customHeight="1">
      <c r="A742" s="9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4.25" customHeight="1">
      <c r="A743" s="9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4.25" customHeight="1">
      <c r="A744" s="9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4.25" customHeight="1">
      <c r="A745" s="9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4.25" customHeight="1">
      <c r="A746" s="9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4.25" customHeight="1">
      <c r="A747" s="9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4.25" customHeight="1">
      <c r="A748" s="9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4.25" customHeight="1">
      <c r="A749" s="9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4.25" customHeight="1">
      <c r="A750" s="9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4.25" customHeight="1">
      <c r="A751" s="9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4.25" customHeight="1">
      <c r="A752" s="9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4.25" customHeight="1">
      <c r="A753" s="9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4.25" customHeight="1">
      <c r="A754" s="9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4.25" customHeight="1">
      <c r="A755" s="9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4.25" customHeight="1">
      <c r="A756" s="9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4.25" customHeight="1">
      <c r="A757" s="9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4.25" customHeight="1">
      <c r="A758" s="9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4.25" customHeight="1">
      <c r="A759" s="9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4.25" customHeight="1">
      <c r="A760" s="9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4.25" customHeight="1">
      <c r="A761" s="9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4.25" customHeight="1">
      <c r="A762" s="9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4.25" customHeight="1">
      <c r="A763" s="9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4.25" customHeight="1">
      <c r="A764" s="9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4.25" customHeight="1">
      <c r="A765" s="9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4.25" customHeight="1">
      <c r="A766" s="9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4.25" customHeight="1">
      <c r="A767" s="9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4.25" customHeight="1">
      <c r="A768" s="9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4.25" customHeight="1">
      <c r="A769" s="9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4.25" customHeight="1">
      <c r="A770" s="9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4.25" customHeight="1">
      <c r="A771" s="9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4.25" customHeight="1">
      <c r="A772" s="9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4.25" customHeight="1">
      <c r="A773" s="9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4.25" customHeight="1">
      <c r="A774" s="9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4.25" customHeight="1">
      <c r="A775" s="9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4.25" customHeight="1">
      <c r="A776" s="9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4.25" customHeight="1">
      <c r="A777" s="9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4.25" customHeight="1">
      <c r="A778" s="9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4.25" customHeight="1">
      <c r="A779" s="9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4.25" customHeight="1">
      <c r="A780" s="9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4.25" customHeight="1">
      <c r="A781" s="9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4.25" customHeight="1">
      <c r="A782" s="9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4.25" customHeight="1">
      <c r="A783" s="9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4.25" customHeight="1">
      <c r="A784" s="9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4.25" customHeight="1">
      <c r="A785" s="9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4.25" customHeight="1">
      <c r="A786" s="9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4.25" customHeight="1">
      <c r="A787" s="9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4.25" customHeight="1">
      <c r="A788" s="9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4.25" customHeight="1">
      <c r="A789" s="9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4.25" customHeight="1">
      <c r="A790" s="9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4.25" customHeight="1">
      <c r="A791" s="9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4.25" customHeight="1">
      <c r="A792" s="9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4.25" customHeight="1">
      <c r="A793" s="9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4.25" customHeight="1">
      <c r="A794" s="9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4.25" customHeight="1">
      <c r="A795" s="9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4.25" customHeight="1">
      <c r="A796" s="9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4.25" customHeight="1">
      <c r="A797" s="9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4.25" customHeight="1">
      <c r="A798" s="9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4.25" customHeight="1">
      <c r="A799" s="9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4.25" customHeight="1">
      <c r="A800" s="9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4.25" customHeight="1">
      <c r="A801" s="9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4.25" customHeight="1">
      <c r="A802" s="9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4.25" customHeight="1">
      <c r="A803" s="9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4.25" customHeight="1">
      <c r="A804" s="9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4.25" customHeight="1">
      <c r="A805" s="9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4.25" customHeight="1">
      <c r="A806" s="9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4.25" customHeight="1">
      <c r="A807" s="9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4.25" customHeight="1">
      <c r="A808" s="9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4.25" customHeight="1">
      <c r="A809" s="9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4.25" customHeight="1">
      <c r="A810" s="9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4.25" customHeight="1">
      <c r="A811" s="9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4.25" customHeight="1">
      <c r="A812" s="9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4.25" customHeight="1">
      <c r="A813" s="9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4.25" customHeight="1">
      <c r="A814" s="9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4.25" customHeight="1">
      <c r="A815" s="9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4.25" customHeight="1">
      <c r="A816" s="9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4.25" customHeight="1">
      <c r="A817" s="9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4.25" customHeight="1">
      <c r="A818" s="9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4.25" customHeight="1">
      <c r="A819" s="9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4.25" customHeight="1">
      <c r="A820" s="9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4.25" customHeight="1">
      <c r="A821" s="9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4.25" customHeight="1">
      <c r="A822" s="9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4.25" customHeight="1">
      <c r="A823" s="9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4.25" customHeight="1">
      <c r="A824" s="9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4.25" customHeight="1">
      <c r="A825" s="9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4.25" customHeight="1">
      <c r="A826" s="9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4.25" customHeight="1">
      <c r="A827" s="9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4.25" customHeight="1">
      <c r="A828" s="9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4.25" customHeight="1">
      <c r="A829" s="9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4.25" customHeight="1">
      <c r="A830" s="9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4.25" customHeight="1">
      <c r="A831" s="9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4.25" customHeight="1">
      <c r="A832" s="9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4.25" customHeight="1">
      <c r="A833" s="9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4.25" customHeight="1">
      <c r="A834" s="9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4.25" customHeight="1">
      <c r="A835" s="9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4.25" customHeight="1">
      <c r="A836" s="9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4.25" customHeight="1">
      <c r="A837" s="9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4.25" customHeight="1">
      <c r="A838" s="9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4.25" customHeight="1">
      <c r="A839" s="9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4.25" customHeight="1">
      <c r="A840" s="9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4.25" customHeight="1">
      <c r="A841" s="9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4.25" customHeight="1">
      <c r="A842" s="9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4.25" customHeight="1">
      <c r="A843" s="9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4.25" customHeight="1">
      <c r="A844" s="9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4.25" customHeight="1">
      <c r="A845" s="9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4.25" customHeight="1">
      <c r="A846" s="9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4.25" customHeight="1">
      <c r="A847" s="9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4.25" customHeight="1">
      <c r="A848" s="9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4.25" customHeight="1">
      <c r="A849" s="9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4.25" customHeight="1">
      <c r="A850" s="9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4.25" customHeight="1">
      <c r="A851" s="9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4.25" customHeight="1">
      <c r="A852" s="9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4.25" customHeight="1">
      <c r="A853" s="9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4.25" customHeight="1">
      <c r="A854" s="9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4.25" customHeight="1">
      <c r="A855" s="9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4.25" customHeight="1">
      <c r="A856" s="9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4.25" customHeight="1">
      <c r="A857" s="9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4.25" customHeight="1">
      <c r="A858" s="9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4.25" customHeight="1">
      <c r="A859" s="9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4.25" customHeight="1">
      <c r="A860" s="9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4.25" customHeight="1">
      <c r="A861" s="9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4.25" customHeight="1">
      <c r="A862" s="9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4.25" customHeight="1">
      <c r="A863" s="9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4.25" customHeight="1">
      <c r="A864" s="9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4.25" customHeight="1">
      <c r="A865" s="9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4.25" customHeight="1">
      <c r="A866" s="9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4.25" customHeight="1">
      <c r="A867" s="9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4.25" customHeight="1">
      <c r="A868" s="9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4.25" customHeight="1">
      <c r="A869" s="9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4.25" customHeight="1">
      <c r="A870" s="9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4.25" customHeight="1">
      <c r="A871" s="9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4.25" customHeight="1">
      <c r="A872" s="9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4.25" customHeight="1">
      <c r="A873" s="9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4.25" customHeight="1">
      <c r="A874" s="9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4.25" customHeight="1">
      <c r="A875" s="9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4.25" customHeight="1">
      <c r="A876" s="9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4.25" customHeight="1">
      <c r="A877" s="9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4.25" customHeight="1">
      <c r="A878" s="9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4.25" customHeight="1">
      <c r="A879" s="9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4.25" customHeight="1">
      <c r="A880" s="9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4.25" customHeight="1">
      <c r="A881" s="9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4.25" customHeight="1">
      <c r="A882" s="9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4.25" customHeight="1">
      <c r="A883" s="9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4.25" customHeight="1">
      <c r="A884" s="9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4.25" customHeight="1">
      <c r="A885" s="9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4.25" customHeight="1">
      <c r="A886" s="9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4.25" customHeight="1">
      <c r="A887" s="9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4.25" customHeight="1">
      <c r="A888" s="9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4.25" customHeight="1">
      <c r="A889" s="9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4.25" customHeight="1">
      <c r="A890" s="9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4.25" customHeight="1">
      <c r="A891" s="9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4.25" customHeight="1">
      <c r="A892" s="9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4.25" customHeight="1">
      <c r="A893" s="9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4.25" customHeight="1">
      <c r="A894" s="9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4.25" customHeight="1">
      <c r="A895" s="9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4.25" customHeight="1">
      <c r="A896" s="9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4.25" customHeight="1">
      <c r="A897" s="9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4.25" customHeight="1">
      <c r="A898" s="9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4.25" customHeight="1">
      <c r="A899" s="9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4.25" customHeight="1">
      <c r="A900" s="9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4.25" customHeight="1">
      <c r="A901" s="9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4.25" customHeight="1">
      <c r="A902" s="9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4.25" customHeight="1">
      <c r="A903" s="9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4.25" customHeight="1">
      <c r="A904" s="9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4.25" customHeight="1">
      <c r="A905" s="9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4.25" customHeight="1">
      <c r="A906" s="9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4.25" customHeight="1">
      <c r="A907" s="9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4.25" customHeight="1">
      <c r="A908" s="9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4.25" customHeight="1">
      <c r="A909" s="9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4.25" customHeight="1">
      <c r="A910" s="9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4.25" customHeight="1">
      <c r="A911" s="9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4.25" customHeight="1">
      <c r="A912" s="9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4.25" customHeight="1">
      <c r="A913" s="9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4.25" customHeight="1">
      <c r="A914" s="9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4.25" customHeight="1">
      <c r="A915" s="9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4.25" customHeight="1">
      <c r="A916" s="9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4.25" customHeight="1">
      <c r="A917" s="9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4.25" customHeight="1">
      <c r="A918" s="9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4.25" customHeight="1">
      <c r="A919" s="9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4.25" customHeight="1">
      <c r="A920" s="9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4.25" customHeight="1">
      <c r="A921" s="9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4.25" customHeight="1">
      <c r="A922" s="9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4.25" customHeight="1">
      <c r="A923" s="9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4.25" customHeight="1">
      <c r="A924" s="9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4.25" customHeight="1">
      <c r="A925" s="9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4.25" customHeight="1">
      <c r="A926" s="9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4.25" customHeight="1">
      <c r="A927" s="9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4.25" customHeight="1">
      <c r="A928" s="9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4.25" customHeight="1">
      <c r="A929" s="9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4.25" customHeight="1">
      <c r="A930" s="9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4.25" customHeight="1">
      <c r="A931" s="9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4.25" customHeight="1">
      <c r="A932" s="9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4.25" customHeight="1">
      <c r="A933" s="9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4.25" customHeight="1">
      <c r="A934" s="9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4.25" customHeight="1">
      <c r="A935" s="9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4.25" customHeight="1">
      <c r="A936" s="9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4.25" customHeight="1">
      <c r="A937" s="9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4.25" customHeight="1">
      <c r="A938" s="9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4.25" customHeight="1">
      <c r="A939" s="9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4.25" customHeight="1">
      <c r="A940" s="9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4.25" customHeight="1">
      <c r="A941" s="9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4.25" customHeight="1">
      <c r="A942" s="9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4.25" customHeight="1">
      <c r="A943" s="9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4.25" customHeight="1">
      <c r="A944" s="9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4.25" customHeight="1">
      <c r="A945" s="9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4.25" customHeight="1">
      <c r="A946" s="9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4.25" customHeight="1">
      <c r="A947" s="9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4.25" customHeight="1">
      <c r="A948" s="9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4.25" customHeight="1">
      <c r="A949" s="9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4.25" customHeight="1">
      <c r="A950" s="9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4.25" customHeight="1">
      <c r="A951" s="9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4.25" customHeight="1">
      <c r="A952" s="9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4.25" customHeight="1">
      <c r="A953" s="9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4.25" customHeight="1">
      <c r="A954" s="9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4.25" customHeight="1">
      <c r="A955" s="9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4.25" customHeight="1">
      <c r="A956" s="9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4.25" customHeight="1">
      <c r="A957" s="9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4.25" customHeight="1">
      <c r="A958" s="9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4.25" customHeight="1">
      <c r="A959" s="9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4.25" customHeight="1">
      <c r="A960" s="9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4.25" customHeight="1">
      <c r="A961" s="9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4.25" customHeight="1">
      <c r="A962" s="9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4.25" customHeight="1">
      <c r="A963" s="9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4.25" customHeight="1">
      <c r="A964" s="9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4.25" customHeight="1">
      <c r="A965" s="9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4.25" customHeight="1">
      <c r="A966" s="9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4.25" customHeight="1">
      <c r="A967" s="9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4.25" customHeight="1">
      <c r="A968" s="9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4.25" customHeight="1">
      <c r="A969" s="9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4.25" customHeight="1">
      <c r="A970" s="9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4.25" customHeight="1">
      <c r="A971" s="9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4.25" customHeight="1">
      <c r="A972" s="9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4.25" customHeight="1">
      <c r="A973" s="9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4.25" customHeight="1">
      <c r="A974" s="9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4.25" customHeight="1">
      <c r="A975" s="9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4.25" customHeight="1">
      <c r="A976" s="9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4.25" customHeight="1">
      <c r="A977" s="9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4.25" customHeight="1">
      <c r="A978" s="9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4.25" customHeight="1">
      <c r="A979" s="9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4.25" customHeight="1">
      <c r="A980" s="9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4.25" customHeight="1">
      <c r="A981" s="9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4.25" customHeight="1">
      <c r="A982" s="9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4.25" customHeight="1">
      <c r="A983" s="9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4.25" customHeight="1">
      <c r="A984" s="9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4.25" customHeight="1">
      <c r="A985" s="9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4.25" customHeight="1">
      <c r="A986" s="9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4.25" customHeight="1">
      <c r="A987" s="9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4.25" customHeight="1">
      <c r="A988" s="9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4.25" customHeight="1">
      <c r="A989" s="9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4.25" customHeight="1">
      <c r="A990" s="9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4.25" customHeight="1">
      <c r="A991" s="9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4.25" customHeight="1">
      <c r="A992" s="9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4.25" customHeight="1">
      <c r="A993" s="9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4.25" customHeight="1">
      <c r="A994" s="9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4.25" customHeight="1">
      <c r="A995" s="9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4.25" customHeight="1">
      <c r="A996" s="9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4.25" customHeight="1">
      <c r="A997" s="9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4.25" customHeight="1">
      <c r="A998" s="9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4.25" customHeight="1">
      <c r="A999" s="9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4.25" customHeight="1">
      <c r="A1000" s="9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1968503937007874" footer="0.0" header="0.0" left="0.3937007874015748" right="0.1968503937007874" top="0.1968503937007874"/>
  <pageSetup paperSize="9" scale="72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F0000"/>
    <outlinePr summaryBelow="0" summaryRight="0"/>
  </sheetPr>
  <sheetViews>
    <sheetView workbookViewId="0"/>
  </sheetViews>
  <sheetFormatPr customHeight="1" defaultColWidth="14.43" defaultRowHeight="15.0"/>
  <cols>
    <col customWidth="1" min="1" max="1" width="4.86"/>
    <col customWidth="1" min="2" max="2" width="10.29"/>
    <col customWidth="1" min="3" max="3" width="7.71"/>
    <col customWidth="1" min="4" max="4" width="8.14"/>
    <col customWidth="1" min="5" max="5" width="7.0"/>
    <col customWidth="1" min="6" max="6" width="7.57"/>
    <col customWidth="1" min="7" max="7" width="7.86"/>
    <col customWidth="1" min="8" max="8" width="7.71"/>
    <col customWidth="1" min="9" max="9" width="8.14"/>
    <col customWidth="1" min="10" max="10" width="7.57"/>
    <col customWidth="1" min="11" max="11" width="7.43"/>
    <col customWidth="1" min="12" max="12" width="7.57"/>
    <col customWidth="1" min="13" max="14" width="7.71"/>
    <col customWidth="1" min="15" max="15" width="7.43"/>
  </cols>
  <sheetData>
    <row r="2">
      <c r="B2" s="182"/>
      <c r="C2" s="183">
        <v>44830.0</v>
      </c>
      <c r="D2" s="183">
        <v>44837.0</v>
      </c>
      <c r="E2" s="183">
        <v>44851.0</v>
      </c>
      <c r="F2" s="183">
        <v>44858.0</v>
      </c>
      <c r="G2" s="183">
        <v>44865.0</v>
      </c>
      <c r="H2" s="183">
        <v>44872.0</v>
      </c>
      <c r="I2" s="183">
        <v>44879.0</v>
      </c>
      <c r="J2" s="183">
        <v>44886.0</v>
      </c>
      <c r="K2" s="183">
        <v>44893.0</v>
      </c>
      <c r="L2" s="183">
        <v>44900.0</v>
      </c>
      <c r="M2" s="183">
        <v>44907.0</v>
      </c>
      <c r="N2" s="183">
        <v>44914.0</v>
      </c>
      <c r="O2" s="183">
        <v>44920.0</v>
      </c>
      <c r="P2" s="184" t="s">
        <v>83</v>
      </c>
    </row>
    <row r="3">
      <c r="B3" s="184" t="s">
        <v>9</v>
      </c>
      <c r="C3" s="182"/>
      <c r="D3" s="184">
        <v>1.0</v>
      </c>
      <c r="E3" s="182"/>
      <c r="F3" s="182"/>
      <c r="G3" s="184">
        <v>1.0</v>
      </c>
      <c r="H3" s="182"/>
      <c r="I3" s="182"/>
      <c r="J3" s="182"/>
      <c r="K3" s="182"/>
      <c r="L3" s="182"/>
      <c r="M3" s="182"/>
      <c r="N3" s="182"/>
      <c r="O3" s="182"/>
      <c r="P3" s="182">
        <f t="shared" ref="P3:P9" si="1">SUM(C3:O3)*6000</f>
        <v>12000</v>
      </c>
    </row>
    <row r="4">
      <c r="B4" s="184" t="s">
        <v>12</v>
      </c>
      <c r="C4" s="182"/>
      <c r="D4" s="184">
        <v>1.0</v>
      </c>
      <c r="E4" s="184">
        <v>1.0</v>
      </c>
      <c r="G4" s="184">
        <v>1.0</v>
      </c>
      <c r="H4" s="184">
        <v>1.0</v>
      </c>
      <c r="I4" s="184"/>
      <c r="J4" s="182"/>
      <c r="K4" s="182"/>
      <c r="L4" s="182"/>
      <c r="M4" s="182"/>
      <c r="N4" s="182"/>
      <c r="O4" s="182"/>
      <c r="P4" s="182">
        <f t="shared" si="1"/>
        <v>24000</v>
      </c>
    </row>
    <row r="5">
      <c r="B5" s="184" t="s">
        <v>16</v>
      </c>
      <c r="C5" s="182"/>
      <c r="D5" s="184">
        <v>1.0</v>
      </c>
      <c r="E5" s="184">
        <v>1.0</v>
      </c>
      <c r="F5" s="182"/>
      <c r="G5" s="182"/>
      <c r="H5" s="184">
        <v>1.0</v>
      </c>
      <c r="I5" s="184">
        <v>2.0</v>
      </c>
      <c r="J5" s="182"/>
      <c r="K5" s="182"/>
      <c r="L5" s="182"/>
      <c r="M5" s="182"/>
      <c r="N5" s="182"/>
      <c r="O5" s="182"/>
      <c r="P5" s="182">
        <f t="shared" si="1"/>
        <v>30000</v>
      </c>
    </row>
    <row r="6">
      <c r="B6" s="184" t="s">
        <v>20</v>
      </c>
      <c r="C6" s="182"/>
      <c r="D6" s="184">
        <v>1.0</v>
      </c>
      <c r="E6" s="184">
        <v>2.0</v>
      </c>
      <c r="F6" s="184">
        <v>2.0</v>
      </c>
      <c r="G6" s="182"/>
      <c r="H6" s="182"/>
      <c r="I6" s="182"/>
      <c r="J6" s="182"/>
      <c r="K6" s="182"/>
      <c r="L6" s="182"/>
      <c r="M6" s="182"/>
      <c r="N6" s="182"/>
      <c r="O6" s="182"/>
      <c r="P6" s="182">
        <f t="shared" si="1"/>
        <v>30000</v>
      </c>
    </row>
    <row r="7">
      <c r="B7" s="184" t="s">
        <v>24</v>
      </c>
      <c r="C7" s="182"/>
      <c r="D7" s="184">
        <v>1.0</v>
      </c>
      <c r="E7" s="184">
        <v>2.0</v>
      </c>
      <c r="F7" s="184">
        <v>2.0</v>
      </c>
      <c r="G7" s="184">
        <v>1.0</v>
      </c>
      <c r="H7" s="184">
        <v>2.0</v>
      </c>
      <c r="I7" s="184">
        <v>2.0</v>
      </c>
      <c r="J7" s="184">
        <v>2.0</v>
      </c>
      <c r="K7" s="184">
        <v>2.0</v>
      </c>
      <c r="L7" s="182"/>
      <c r="M7" s="182"/>
      <c r="N7" s="182"/>
      <c r="O7" s="182"/>
      <c r="P7" s="182">
        <f t="shared" si="1"/>
        <v>84000</v>
      </c>
    </row>
    <row r="8">
      <c r="B8" s="184" t="s">
        <v>26</v>
      </c>
      <c r="C8" s="182"/>
      <c r="D8" s="184">
        <v>1.0</v>
      </c>
      <c r="E8" s="184">
        <v>1.0</v>
      </c>
      <c r="F8" s="184">
        <v>2.0</v>
      </c>
      <c r="G8" s="182"/>
      <c r="H8" s="182"/>
      <c r="I8" s="182"/>
      <c r="J8" s="184">
        <v>2.0</v>
      </c>
      <c r="K8" s="184">
        <v>2.0</v>
      </c>
      <c r="L8" s="182"/>
      <c r="M8" s="182"/>
      <c r="N8" s="182"/>
      <c r="O8" s="182"/>
      <c r="P8" s="182">
        <f t="shared" si="1"/>
        <v>48000</v>
      </c>
    </row>
    <row r="9">
      <c r="B9" s="184" t="s">
        <v>74</v>
      </c>
      <c r="C9" s="182">
        <f t="shared" ref="C9:O9" si="2">SUM(C3:C8)</f>
        <v>0</v>
      </c>
      <c r="D9" s="182">
        <f t="shared" si="2"/>
        <v>6</v>
      </c>
      <c r="E9" s="182">
        <f t="shared" si="2"/>
        <v>7</v>
      </c>
      <c r="F9" s="182">
        <f t="shared" si="2"/>
        <v>6</v>
      </c>
      <c r="G9" s="182">
        <f t="shared" si="2"/>
        <v>3</v>
      </c>
      <c r="H9" s="182">
        <f t="shared" si="2"/>
        <v>4</v>
      </c>
      <c r="I9" s="182">
        <f t="shared" si="2"/>
        <v>4</v>
      </c>
      <c r="J9" s="182">
        <f t="shared" si="2"/>
        <v>4</v>
      </c>
      <c r="K9" s="182">
        <f t="shared" si="2"/>
        <v>4</v>
      </c>
      <c r="L9" s="182">
        <f t="shared" si="2"/>
        <v>0</v>
      </c>
      <c r="M9" s="182">
        <f t="shared" si="2"/>
        <v>0</v>
      </c>
      <c r="N9" s="182">
        <f t="shared" si="2"/>
        <v>0</v>
      </c>
      <c r="O9" s="182">
        <f t="shared" si="2"/>
        <v>0</v>
      </c>
      <c r="P9" s="182">
        <f t="shared" si="1"/>
        <v>228000</v>
      </c>
    </row>
  </sheetData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2.75" customHeight="1"/>
    <row r="2" ht="12.75" customHeight="1"/>
    <row r="3" ht="12.75" customHeight="1"/>
    <row r="4" ht="12.75" customHeight="1"/>
    <row r="5" ht="12.75" customHeight="1"/>
    <row r="6" ht="12.75" customHeight="1"/>
    <row r="7" ht="12.75" customHeight="1"/>
    <row r="8" ht="12.75" customHeight="1"/>
    <row r="9" ht="12.75" customHeight="1"/>
    <row r="10" ht="12.75" customHeight="1"/>
    <row r="11" ht="12.75" customHeight="1"/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rintOptions/>
  <pageMargins bottom="0.984" footer="0.0" header="0.0" left="0.787" right="0.787" top="0.984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2008-09-19T03:55:04Z</dcterms:created>
  <dc:creator>FCSK</dc:creator>
</cp:coreProperties>
</file>